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plant Protection\companies data\"/>
    </mc:Choice>
  </mc:AlternateContent>
  <bookViews>
    <workbookView xWindow="-120" yWindow="-120" windowWidth="20736" windowHeight="11040"/>
  </bookViews>
  <sheets>
    <sheet name="Company Details" sheetId="1" r:id="rId1"/>
    <sheet name="Employ details" sheetId="2" r:id="rId2"/>
    <sheet name="Name Of Products" sheetId="3" r:id="rId3"/>
    <sheet name="Search Engine " sheetId="4" r:id="rId4"/>
  </sheets>
  <definedNames>
    <definedName name="Company_Details">'Company Details'!$C$2:$R$1048576</definedName>
    <definedName name="Employ_Details">'Employ details'!$C$2:$I$1048576</definedName>
    <definedName name="Products">'Name Of Products'!$B:$D</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9" i="1" l="1"/>
  <c r="F28" i="4"/>
  <c r="F25" i="4"/>
  <c r="F22" i="4"/>
  <c r="F31" i="4"/>
  <c r="Q28" i="4"/>
  <c r="Q25" i="4"/>
  <c r="Q22" i="4"/>
  <c r="Q19" i="4"/>
  <c r="Q16" i="4"/>
  <c r="Q13" i="4"/>
  <c r="F16" i="4"/>
  <c r="F19" i="4"/>
  <c r="F43" i="4"/>
  <c r="Q7" i="4"/>
  <c r="F49" i="4" l="1"/>
  <c r="F40" i="4"/>
  <c r="Q37" i="4"/>
  <c r="Q43" i="4"/>
  <c r="Q40" i="4"/>
  <c r="F52" i="4"/>
  <c r="F37" i="4"/>
</calcChain>
</file>

<file path=xl/sharedStrings.xml><?xml version="1.0" encoding="utf-8"?>
<sst xmlns="http://schemas.openxmlformats.org/spreadsheetml/2006/main" count="2300" uniqueCount="1469">
  <si>
    <t>A.M.B. Agro Division</t>
  </si>
  <si>
    <t>A.M.B. Agro Division, Room No. 122, Kasi Plaza, Zarghoon Road, Quetta.</t>
  </si>
  <si>
    <t>54400-0464574-1</t>
  </si>
  <si>
    <t>Haji Abdul Maliq</t>
  </si>
  <si>
    <t>081-2452289</t>
  </si>
  <si>
    <t>ambagrodivision@yahoo.com</t>
  </si>
  <si>
    <t>/Renewal/PP/DGA</t>
  </si>
  <si>
    <t>AASI Agro Chemical &amp; Fertilizer</t>
  </si>
  <si>
    <t>22-Km, KLP Road Goth Sadiqabad</t>
  </si>
  <si>
    <t>31304-2091080-3</t>
  </si>
  <si>
    <t xml:space="preserve">Muhammad Shafiq </t>
  </si>
  <si>
    <t>58/RF/RYK</t>
  </si>
  <si>
    <t>Nill</t>
  </si>
  <si>
    <t>0300-9675728</t>
  </si>
  <si>
    <t>Abdullah Haseeb, Agro chemicals</t>
  </si>
  <si>
    <t>Abdullah Haseeb, Agro chemicals, Head office, 270- A - Khayaban-e-Sarwar, Dera Ghazi Khan.</t>
  </si>
  <si>
    <t>/Registration/PP/DGA</t>
  </si>
  <si>
    <t>Advance Agro Tech</t>
  </si>
  <si>
    <t>Advance Agro Tech 25-A II Industrial Estate Multan</t>
  </si>
  <si>
    <t>111-176-539</t>
  </si>
  <si>
    <t>Advance_agrotech@yahoo.com</t>
  </si>
  <si>
    <t>AG Pharma</t>
  </si>
  <si>
    <t>AG Pharma, Add: 286-H/2, Johar Town Lahore.103-A, Aitcheson Society Raiwind Road Lahore</t>
  </si>
  <si>
    <t xml:space="preserve">Aggrio Pakistan (Pvt) Ltd </t>
  </si>
  <si>
    <t>1- Green Park,fatima Jinna Town off Vehari road Multan</t>
  </si>
  <si>
    <t>0098279/PP/2023</t>
  </si>
  <si>
    <t>aggriopakistan@gmail.com</t>
  </si>
  <si>
    <t>Agreen Pakistan</t>
  </si>
  <si>
    <t>Agren Pakistan: Plot.#A/1, Shahjahan City, Bahawalpur Bypass Chowk, Bahawalpur Road Multan</t>
  </si>
  <si>
    <t>061-6515117</t>
  </si>
  <si>
    <t>agrenpakistan@gmail.com</t>
  </si>
  <si>
    <t>Agri Award International</t>
  </si>
  <si>
    <t>Agri Award International, 347, Bhayani Shopping Centre Block M, North Nazimabad, Karachi.</t>
  </si>
  <si>
    <t>021-36675460</t>
  </si>
  <si>
    <t>agriawardint@gmail.com</t>
  </si>
  <si>
    <t>Agri Farm Services</t>
  </si>
  <si>
    <t>Agri Farm Services, 77-Industrial Estate, Multan.</t>
  </si>
  <si>
    <t>Agri Research Wing International</t>
  </si>
  <si>
    <t>Agri Research Wing International Shop No, K-45-A Karachi Road Hazar Ganji Quetta</t>
  </si>
  <si>
    <t>0812-460628</t>
  </si>
  <si>
    <t>agriresearch.wing.international@gmail.com</t>
  </si>
  <si>
    <t>Agri Tass  Interprises</t>
  </si>
  <si>
    <t>SF 617 Deans Trade Center Peshawar pakistan</t>
  </si>
  <si>
    <t>17101-5181132-1</t>
  </si>
  <si>
    <t>Salman Nazir</t>
  </si>
  <si>
    <t>091-6514144</t>
  </si>
  <si>
    <t>www.fourstargroup.com.pk</t>
  </si>
  <si>
    <t>Agri Top (Pvt.) Limited</t>
  </si>
  <si>
    <t>Agri Top (Pvt.) Limited, 79-Industrial Estate, Multan.</t>
  </si>
  <si>
    <t>061-6538171-2, 061-6537720-1</t>
  </si>
  <si>
    <t>www.aziz-group.com</t>
  </si>
  <si>
    <t>Agriforece Chemiclas</t>
  </si>
  <si>
    <t xml:space="preserve">133-A Khayaban-e- Sarwar Dera Ghazi Khan </t>
  </si>
  <si>
    <t>32102-6613462-5</t>
  </si>
  <si>
    <t>Muhammad Ashraf</t>
  </si>
  <si>
    <t>26/PP/</t>
  </si>
  <si>
    <t>064-2464545</t>
  </si>
  <si>
    <t>wahidgroup@gmail.com</t>
  </si>
  <si>
    <t>PP/Dg?Registration</t>
  </si>
  <si>
    <t>Agrilinks International</t>
  </si>
  <si>
    <t>New Reg.</t>
  </si>
  <si>
    <t xml:space="preserve">Agrinar Pakistan </t>
  </si>
  <si>
    <t>Plot 43, Phase-1 A, M3, Industraial City Faisalabad</t>
  </si>
  <si>
    <t>36603-7551036-3</t>
  </si>
  <si>
    <t>Waqas Afzal</t>
  </si>
  <si>
    <t>104-MR</t>
  </si>
  <si>
    <t>061-6538835</t>
  </si>
  <si>
    <t>kulachi@yaqoobgroup.com</t>
  </si>
  <si>
    <t xml:space="preserve">Agro Trade </t>
  </si>
  <si>
    <t>Agrochina, Pakistan p.v.t. limited</t>
  </si>
  <si>
    <t>Agrochina, Pakistan p.v.t. limited, 23 B-P Johar Town Lahore, Pakistan.</t>
  </si>
  <si>
    <t>042-35311005</t>
  </si>
  <si>
    <t>www.agrochinapak.com</t>
  </si>
  <si>
    <t>Agrolix International</t>
  </si>
  <si>
    <t>Talha House Near Shah Shams Park Eid Gah Road Multan</t>
  </si>
  <si>
    <t>061-4424833</t>
  </si>
  <si>
    <t xml:space="preserve">agrolixintl@gmail.com </t>
  </si>
  <si>
    <t>Agropole International</t>
  </si>
  <si>
    <t>Agrotree Life Science (Pvt) Ltd</t>
  </si>
  <si>
    <t>House No 547 Block G DHA Phase Lahore Cantt</t>
  </si>
  <si>
    <t>Shi Xianlin</t>
  </si>
  <si>
    <t>092-4232363169</t>
  </si>
  <si>
    <t>ida@agrotree.com</t>
  </si>
  <si>
    <t>Agrow Limited</t>
  </si>
  <si>
    <t>Agrow Limited (Add;) Head Office, Plot No 441 Block –G-4 Main Boulevard Johar Town Lahore</t>
  </si>
  <si>
    <t>35202-4262625-7</t>
  </si>
  <si>
    <t>Naeem Akhter</t>
  </si>
  <si>
    <t>042-35463485-86</t>
  </si>
  <si>
    <t>Ajmal.Akhtar@agrow.pk</t>
  </si>
  <si>
    <t xml:space="preserve">Ahmed &amp; Kamran Traders (Pvt) Ltd  </t>
  </si>
  <si>
    <t>Ahmed &amp; Kamran Traders (Pvt) Ltd  office No. 07 Lower Ground Floor Paris Arcade Sector E-11/3 Islamabad</t>
  </si>
  <si>
    <t>0333-7813066</t>
  </si>
  <si>
    <t>Kakarafghan@gmail.com</t>
  </si>
  <si>
    <t>0001-(B-0026) 2019</t>
  </si>
  <si>
    <t>Ahmed Agro Chemicals</t>
  </si>
  <si>
    <t>Ahmed Agro Chemicals, Sirki Road, Quetta.</t>
  </si>
  <si>
    <t>54302-0776063-3</t>
  </si>
  <si>
    <t>Hamayun Khan karar</t>
  </si>
  <si>
    <t>081-2446913</t>
  </si>
  <si>
    <t>Ahmedagrochemical@yahoo.com</t>
  </si>
  <si>
    <t>/PP/DGA</t>
  </si>
  <si>
    <t>Al Khaleej Agro and Co</t>
  </si>
  <si>
    <t>Al Falah Plaza office No 3 Mansafi road quetta Pakistan</t>
  </si>
  <si>
    <t>Al Noor Agro Chemicals</t>
  </si>
  <si>
    <t>Al Noor Agro Chemicals Muzammil Cotton Industries NPN Bahawalpur</t>
  </si>
  <si>
    <t xml:space="preserve">Ali Akbar, Lahore Enterprises </t>
  </si>
  <si>
    <t>Ali Akbar, Lahore Enterprises Raiwind Road Lahore</t>
  </si>
  <si>
    <t>042-111-224-111</t>
  </si>
  <si>
    <t>0300-8681277</t>
  </si>
  <si>
    <t>postmaster@aliakbargroup.com</t>
  </si>
  <si>
    <t>/Registartion/PP/DGA</t>
  </si>
  <si>
    <t>Allied Enterprises</t>
  </si>
  <si>
    <t>Allied Enterprises, R.C.D. Road, Hub near Karachi/Usman Plaza Yet Road Quetta.</t>
  </si>
  <si>
    <t>081-285628</t>
  </si>
  <si>
    <t>?</t>
  </si>
  <si>
    <t>Al-Mehmood Chemicals</t>
  </si>
  <si>
    <t>Al-Mehmood Chemicals, Balochistan, Surajganj Bazar Quetta.</t>
  </si>
  <si>
    <t>54400-0421258-7</t>
  </si>
  <si>
    <t>Haji Abdul Khaliq</t>
  </si>
  <si>
    <t>081-2820030, 2838114</t>
  </si>
  <si>
    <t>amcpak@yahoo.com</t>
  </si>
  <si>
    <t>Altiga Agri Solutions (Pvt) Ltd</t>
  </si>
  <si>
    <t>TF 142-143-144 Deans Trade center Peshawar</t>
  </si>
  <si>
    <t>15601-1034366-7</t>
  </si>
  <si>
    <t>Barkat Ali Khan</t>
  </si>
  <si>
    <t>091-5253304-6</t>
  </si>
  <si>
    <t>Amber Agro Chemical</t>
  </si>
  <si>
    <t>0300-3400952</t>
  </si>
  <si>
    <t xml:space="preserve">Arbico International </t>
  </si>
  <si>
    <t xml:space="preserve">Plot No. 22 Office No. 4 1st Floor Industrial Estate Phase II Multan </t>
  </si>
  <si>
    <t>0341-5566771</t>
  </si>
  <si>
    <t xml:space="preserve">arbicointernational@gmail.com </t>
  </si>
  <si>
    <t>Asad Agro Services pvt (Ltd)</t>
  </si>
  <si>
    <t>Office No 38-F/1 ,Dost Plaza Nishter road Multan</t>
  </si>
  <si>
    <t>sadikhan61900@gmail.com</t>
  </si>
  <si>
    <t>Auriga Chemical Enterprises.</t>
  </si>
  <si>
    <t xml:space="preserve">Auriga Chemical Enterprises 33-KM Multan Road Lahore Pakistan </t>
  </si>
  <si>
    <t>35202-8012845-3</t>
  </si>
  <si>
    <t>Jamshaid Iqbal Chemma</t>
  </si>
  <si>
    <t>042-35380256-7</t>
  </si>
  <si>
    <t>info@aurigagroup.com</t>
  </si>
  <si>
    <t>Avanzu Chemicals (Pvt) Ltd</t>
  </si>
  <si>
    <t>TF 122 Deans Trade center, Peshawar</t>
  </si>
  <si>
    <t>16202-0995384-5</t>
  </si>
  <si>
    <t>Iftikhar Ali</t>
  </si>
  <si>
    <t>0300-9383985</t>
  </si>
  <si>
    <t>avanzuchemicals@gmail.com</t>
  </si>
  <si>
    <t xml:space="preserve">Axin Chemiclas Cooporation </t>
  </si>
  <si>
    <t xml:space="preserve">Axin Chemiclas Cooporation 33-B , Industrial Estate Multan </t>
  </si>
  <si>
    <t xml:space="preserve">info@exingroupopakistan.com </t>
  </si>
  <si>
    <t>Ayan Crop Sciences</t>
  </si>
  <si>
    <t>Ayan Crop Sciences, 370 Block-3C/1, Township, Lahore.</t>
  </si>
  <si>
    <t>042-35400236</t>
  </si>
  <si>
    <t>ayanagri@gmail.com</t>
  </si>
  <si>
    <t xml:space="preserve">Bayer Pakistan (Pvt.) Ltd. </t>
  </si>
  <si>
    <t>Bayer Pakistan (Pvt.) Ltd. Plot No. 23,Sector 22, Korangi Industrial Area, Karachi.</t>
  </si>
  <si>
    <t>021-35108000</t>
  </si>
  <si>
    <t>Bio Track Enterprises</t>
  </si>
  <si>
    <t>Bio Track Enterprises  334, Street 14 Al Qaresh Housing Scheme Shershah Road Multan</t>
  </si>
  <si>
    <t>061-6539677</t>
  </si>
  <si>
    <t>biotarck1@hotmail.com</t>
  </si>
  <si>
    <t xml:space="preserve">Bioring Crop Sciences Agro Divisionifton </t>
  </si>
  <si>
    <t>Bioring Crop Sciences Agro Division B-01/2, Clifton Garden 2, Block 3 Clifton Karachi</t>
  </si>
  <si>
    <t>021-35360786</t>
  </si>
  <si>
    <t>Brawo Crop Science</t>
  </si>
  <si>
    <t>33-km ,Multan Road lahore Pakistan</t>
  </si>
  <si>
    <t>info@origagroup.com</t>
  </si>
  <si>
    <t xml:space="preserve">Capricorn Associates Agro chemical Division </t>
  </si>
  <si>
    <t>Capricorn Associates Agro chemical Division 714/C/2,P.E.C.H.S Central Commercial Area office  Tariq Road Karachi</t>
  </si>
  <si>
    <t>capri@omargroup.com</t>
  </si>
  <si>
    <t>Chempak Crop Sciences</t>
  </si>
  <si>
    <t>Chempak Crop Sciences Plot No F/21, Site Area Hyderabad</t>
  </si>
  <si>
    <t>Cpcs17@outlook.com</t>
  </si>
  <si>
    <t xml:space="preserve">Comega Life Sciences (Pvt) Limited </t>
  </si>
  <si>
    <t>Comega Lite Sciences (Pvt) Limited 26 Indus Block Green Fort 11 Canal Road Lahore</t>
  </si>
  <si>
    <t>049-4388444-6</t>
  </si>
  <si>
    <t>info@saybangroup.com</t>
  </si>
  <si>
    <t>Address</t>
  </si>
  <si>
    <t>CNIC</t>
  </si>
  <si>
    <t>Reg</t>
  </si>
  <si>
    <t>Continental Agro Sciences</t>
  </si>
  <si>
    <t>Plot 24/1-B Industrial estate Phase 1,Multan</t>
  </si>
  <si>
    <t>36302-6027965-3</t>
  </si>
  <si>
    <t>Iqbal Hussain</t>
  </si>
  <si>
    <t>0300-8638828</t>
  </si>
  <si>
    <t>Creative Agri Mart (Pvt)Ltd</t>
  </si>
  <si>
    <t>CM-3,Ground Flore Gulistan Rafi,Karachi pakistan</t>
  </si>
  <si>
    <t>021-34110543</t>
  </si>
  <si>
    <t>sales@creative.agri.com</t>
  </si>
  <si>
    <t>Cultevo Crop Sciences</t>
  </si>
  <si>
    <t>383, Block E, EME Sector DHA, Phase 12,Lahore</t>
  </si>
  <si>
    <t>32403-9797137-1</t>
  </si>
  <si>
    <t>Salman Ahmed</t>
  </si>
  <si>
    <t>042-35957117</t>
  </si>
  <si>
    <t>D' Agro Pakistan (Pvt.)</t>
  </si>
  <si>
    <t>D' Agro Pakistan (Pvt.), D-33-A, South Avenue, S.I.T.E. Limited Karachi</t>
  </si>
  <si>
    <t>021-35837630</t>
  </si>
  <si>
    <t>www.dagropakistan.com</t>
  </si>
  <si>
    <t>Dada Jee Corporation (DJCPL)</t>
  </si>
  <si>
    <t>Dada Jee Corporation, 1-KM Bhoptian Chowk Defence Road,Off Raiwind Road, Lahore.</t>
  </si>
  <si>
    <t>Elivor PAK</t>
  </si>
  <si>
    <t>office No 2Plot No40-1 Phase 1 Industrial estate Multan</t>
  </si>
  <si>
    <t>42501-2199183-5</t>
  </si>
  <si>
    <t>Shoiab Ahmed</t>
  </si>
  <si>
    <t>MR/0048</t>
  </si>
  <si>
    <t>0335-4867111</t>
  </si>
  <si>
    <t xml:space="preserve">Engro </t>
  </si>
  <si>
    <t xml:space="preserve">Engro Fertilizer Limited 7&amp;8 Floor Habar Front Building HC-3 Marine Drive Block- 4 Clifton Karachi </t>
  </si>
  <si>
    <t>0092-2135297501-10</t>
  </si>
  <si>
    <t>0301-8253878</t>
  </si>
  <si>
    <t xml:space="preserve">naqureshi@engro.com </t>
  </si>
  <si>
    <t>Eragon Pesticide Corporation</t>
  </si>
  <si>
    <t>Eragon Pesticide Corporation, 346, Bhayani Shopping Centre Block M, North Nazimabad, Karachi.</t>
  </si>
  <si>
    <t>Ever Shine</t>
  </si>
  <si>
    <t>Surag Ganj Bazar Quetta Pakistan</t>
  </si>
  <si>
    <t>2001/0670</t>
  </si>
  <si>
    <t>081-2820045</t>
  </si>
  <si>
    <t>Expert Kisan Agro Chemicals and Seed</t>
  </si>
  <si>
    <t>Office No 21- first Flore Bazar E Faisal F.B areaBlock ! Flot no 31 Karachi Pakistan</t>
  </si>
  <si>
    <t>A682299</t>
  </si>
  <si>
    <t>expert.kissan@gmail.com</t>
  </si>
  <si>
    <t>Farmisto Chemicals (Pvt) Ltd</t>
  </si>
  <si>
    <t xml:space="preserve">Farmisto Chemicals Pvt Office #TF-215,Deans Trade Center Saddar Road Cantt, Peshwar </t>
  </si>
  <si>
    <t>091-5253075</t>
  </si>
  <si>
    <t>0305-9507777</t>
  </si>
  <si>
    <t>farmistochemicals@gmail.com</t>
  </si>
  <si>
    <t>Fine Crop Science (Pvt)Ltd</t>
  </si>
  <si>
    <t>FMC (Pvt.) Limited</t>
  </si>
  <si>
    <t>FMC (Pvt.) Limited, 99-E-1, Ghalib Road, Gulberg III, Lahore.</t>
  </si>
  <si>
    <t>042-111-222-362</t>
  </si>
  <si>
    <t>Foreign Crop Sciences</t>
  </si>
  <si>
    <t>Office No 02,Plat/23, Industrial Estate ,Phase 2 Multan</t>
  </si>
  <si>
    <t>foriegnchemicals@gmail.com</t>
  </si>
  <si>
    <t>Forward Agro Chemicals</t>
  </si>
  <si>
    <t>307,E Block , Shah Rukn e Alam Colony Multan</t>
  </si>
  <si>
    <t>36302-9781239-1</t>
  </si>
  <si>
    <t>Muhammad tahir</t>
  </si>
  <si>
    <t>06-MR</t>
  </si>
  <si>
    <t>061-6770226</t>
  </si>
  <si>
    <t>0300-8637450</t>
  </si>
  <si>
    <t>Four Brothers Biologic AG Pakistan</t>
  </si>
  <si>
    <t>Four Brothers Biologic AG Pakistan, 77-D/1, 1st Floor Lahore Centre. Main Boulevard Gulberg, Lahore.</t>
  </si>
  <si>
    <t>042-111005555</t>
  </si>
  <si>
    <t>info@4bgroup.com</t>
  </si>
  <si>
    <t xml:space="preserve">Four Brothers Farms Pvt Ltd </t>
  </si>
  <si>
    <t>Four Brothers Farms Pvt Ltd  77-D/1, 1st Floor, Lahore Centre, Main Boulevard Gulberg, Lahore.</t>
  </si>
  <si>
    <t>Four Brothers, Agri Services Pakistan</t>
  </si>
  <si>
    <t>Four Brothers, Agri Services Pakistan, 77-D/1, 1st Floor, Lahore Centre, Main Boulevard Gulberg, Lahore.</t>
  </si>
  <si>
    <t>042-111-00-55-55</t>
  </si>
  <si>
    <t>Four Star Agro Chemicals and Fertilizers</t>
  </si>
  <si>
    <t>Four Star Agro Chemicals and Fertilizers, C-34, Hoor-e-palace Block 11 University Road Gulshan-e-Iqbal Karachi</t>
  </si>
  <si>
    <t>025-4008600</t>
  </si>
  <si>
    <t>Gnosch International</t>
  </si>
  <si>
    <t>Plot no 54 Industrial Estate Phase 1 Cant Shairshah Town Multan</t>
  </si>
  <si>
    <t>36101-0641900-7</t>
  </si>
  <si>
    <t>Shafqat Ali</t>
  </si>
  <si>
    <t>199-MR</t>
  </si>
  <si>
    <t>061-6537415</t>
  </si>
  <si>
    <t>gnoschinternational@gmail.com</t>
  </si>
  <si>
    <t>Golden Arrow Agro Chemicals</t>
  </si>
  <si>
    <t>Golden Arrow Agro Chemicals, Girls Model High School, Hospital Road Khuzdar</t>
  </si>
  <si>
    <t>0333-2074360</t>
  </si>
  <si>
    <t>Gomajee agri Science (Pvt) Ltd</t>
  </si>
  <si>
    <t>office 7167th flore Progressive Plaza beamount road civil line Karachi</t>
  </si>
  <si>
    <t>41304-9992126-7</t>
  </si>
  <si>
    <t>Rajesh Kumar</t>
  </si>
  <si>
    <t>A071126</t>
  </si>
  <si>
    <t>021-35650167</t>
  </si>
  <si>
    <t>info@gomajee.com</t>
  </si>
  <si>
    <t xml:space="preserve">Granular (Pvt.) </t>
  </si>
  <si>
    <t xml:space="preserve">Granular (Pvt.) Ltd  F-52/A Site Near Gulibai Hoowrangi, Behind Al- Razzak Masjid Karachi Pakistan </t>
  </si>
  <si>
    <t>021-32563334</t>
  </si>
  <si>
    <t>0321-8222136</t>
  </si>
  <si>
    <t>Saeed.rehman@granulars.com</t>
  </si>
  <si>
    <t>Green Co Enterprises</t>
  </si>
  <si>
    <t>House # 9, St No. 1, Haji Block Chowk Near Industrial Stat Multan.</t>
  </si>
  <si>
    <t>0302-8020355</t>
  </si>
  <si>
    <t>greencoenterprises2018@gmail.com</t>
  </si>
  <si>
    <t>Green Co Entrepreneur</t>
  </si>
  <si>
    <t>Green Field Agro Services</t>
  </si>
  <si>
    <t>Green Glam Chemicals</t>
  </si>
  <si>
    <t>Yaseen Arcade Gullgasht Multan</t>
  </si>
  <si>
    <t>36302-0336447-1</t>
  </si>
  <si>
    <t>Muhammad Hassan Kashif</t>
  </si>
  <si>
    <t>MR/0336</t>
  </si>
  <si>
    <t>0300-5532532</t>
  </si>
  <si>
    <t>Green Let International</t>
  </si>
  <si>
    <t>Khayaban e sarwar Dera Ghazi Khan Pakistan</t>
  </si>
  <si>
    <t>32102-0457330-7</t>
  </si>
  <si>
    <t>Muhammad Shafiq Khan</t>
  </si>
  <si>
    <t>greenlet@suncropgroup.com</t>
  </si>
  <si>
    <t>Green Revolution (Pvt.) Limited</t>
  </si>
  <si>
    <t>Green Revolution (Pvt.) Limited, 35-Tipu Block, New Garden Town, Lahore.</t>
  </si>
  <si>
    <t>042-35884496-7, 0300-8733056</t>
  </si>
  <si>
    <t>info@greenrevolution.com.pk</t>
  </si>
  <si>
    <t>Green Vision Enterprises</t>
  </si>
  <si>
    <t>H.K. Enterprises</t>
  </si>
  <si>
    <t>Halal 19 Agro Tech</t>
  </si>
  <si>
    <t>Halal 19 Agro Tech, Office I, 3rd Floor Building, 23 D, Shahbaz Lane 4, DHA-6, Karachi</t>
  </si>
  <si>
    <t>0333-7878900</t>
  </si>
  <si>
    <t>info@halal19agrotech.com</t>
  </si>
  <si>
    <t>Hameed Brothers Pesticide SMC (Pvt) Ltd</t>
  </si>
  <si>
    <t>Office No 1Haji zahoor Plaza Near Railway Patak Kuchlak Qeutta</t>
  </si>
  <si>
    <t>54400-7769016-9</t>
  </si>
  <si>
    <t>Haji Alla u Din</t>
  </si>
  <si>
    <t>0304-5285983</t>
  </si>
  <si>
    <t>Hub Agro Chemials</t>
  </si>
  <si>
    <t>Hussain salman Chemicals (HSC)</t>
  </si>
  <si>
    <t>101/4, Industrial Estate Multan Pakistan</t>
  </si>
  <si>
    <t>Khawaja sada Hussain siddiqui</t>
  </si>
  <si>
    <t>092-61,6537228</t>
  </si>
  <si>
    <t>info@patrongroup.com.pk</t>
  </si>
  <si>
    <t>Hyland International</t>
  </si>
  <si>
    <t>126 F, Gulistan Colony old Bahawal pur Road Multan Pakistan</t>
  </si>
  <si>
    <t>36302-5548113-3</t>
  </si>
  <si>
    <t>Fahad Ali Anwar</t>
  </si>
  <si>
    <t>061-4500771</t>
  </si>
  <si>
    <t>hylandint@gmail .com</t>
  </si>
  <si>
    <t>I Plant Care</t>
  </si>
  <si>
    <t>Imperial Crop Sciences (Pvt) Ltd</t>
  </si>
  <si>
    <t>No.1, Block G-II,Canal Bank Johar Town, Lahore Pakistan</t>
  </si>
  <si>
    <t>info@taragroup.com.pk</t>
  </si>
  <si>
    <t>Innova Agri Solutions</t>
  </si>
  <si>
    <t>Sayban Building Office/362.km Multan road Nohi nala Phool Nagar Kasoor lahore Pakistan</t>
  </si>
  <si>
    <t>31202-1761377-3</t>
  </si>
  <si>
    <t>Shamsher Hussain</t>
  </si>
  <si>
    <t>infoinnovaagri@gmail.com</t>
  </si>
  <si>
    <t>Intech Chemicals Enterprises (Pvt) Ltd</t>
  </si>
  <si>
    <t>Plot No 26 Street No 25 Mz. Floor,Office No03 DHA Phase 5Toheed Commercial Karachi</t>
  </si>
  <si>
    <t>45104-6035871-1</t>
  </si>
  <si>
    <t>Ambresh Kumar</t>
  </si>
  <si>
    <t>0346-6315535</t>
  </si>
  <si>
    <t>intaechhr1@outlook.com</t>
  </si>
  <si>
    <t>IPLANT CARE</t>
  </si>
  <si>
    <t>Plot/106,Phase 2industrial estate multan</t>
  </si>
  <si>
    <t>227 (Register of Firm Multan) /PP/2023/Reg-1)</t>
  </si>
  <si>
    <t>Jaffer Agro Services (Pvt.) Limited</t>
  </si>
  <si>
    <t>Jaffer Agro Services (Pvt.) Limited, Citi Tower, 33-A, Block-6, P.E.C.H.S., Sharah-e-Faisal, Karachi-75400.</t>
  </si>
  <si>
    <t>021-34373111</t>
  </si>
  <si>
    <t>www.jaffer.com</t>
  </si>
  <si>
    <t xml:space="preserve">Jaspal </t>
  </si>
  <si>
    <t>Javaid Chemical Enterprisis SMC (Pvt) Ltd</t>
  </si>
  <si>
    <t>Fatima Jinnah Road Samad Khan Streeet Shafi Plaza Flat No 3</t>
  </si>
  <si>
    <t>54000-0460164-9</t>
  </si>
  <si>
    <t>Muhammad Tahir</t>
  </si>
  <si>
    <t>0315-1800880</t>
  </si>
  <si>
    <t>muhammadtahircobra@gmail.com</t>
  </si>
  <si>
    <t>Jullundur (Pvt. ) Limited</t>
  </si>
  <si>
    <t>Jullundur (Pvt. ) Limited, 56 L, Model Town (Extension) Lahore.</t>
  </si>
  <si>
    <t>042-35175912-4</t>
  </si>
  <si>
    <t>info@jullundurgroup.com</t>
  </si>
  <si>
    <t>Kanzo AG</t>
  </si>
  <si>
    <t>9 Industrial Estate Phase 2 Multan</t>
  </si>
  <si>
    <t>36302-3865595-1</t>
  </si>
  <si>
    <t>Asif Majeed</t>
  </si>
  <si>
    <t>091-616539745</t>
  </si>
  <si>
    <t>Kareem Chemicals</t>
  </si>
  <si>
    <t>Kareem Chemicals Roomi Cotton Factory Plot No. 2/A Industrial Estate Multan</t>
  </si>
  <si>
    <t>061-6537333</t>
  </si>
  <si>
    <t>Khushhali Agro Chemicals</t>
  </si>
  <si>
    <t>Khushhali Agro Chemicals, Liaquat Center, Flat No. 6, 2nd Floor, Unit No. 2, Liaquatabad, Auto Bhan Road, Hyderabad.</t>
  </si>
  <si>
    <t>0366-3791152</t>
  </si>
  <si>
    <t>King Noorzad Agro Products</t>
  </si>
  <si>
    <t>King Noorzad Agro Products, Barech Market, Sirki Road,    Quetta.</t>
  </si>
  <si>
    <t>Kissan care (Pvt) Ltd</t>
  </si>
  <si>
    <t>7.Km ,Sundar Raiwind Road Near Fine pakages lahore</t>
  </si>
  <si>
    <t>32102-0180787-3</t>
  </si>
  <si>
    <t>Muhammad abu Bakar Siddiq Akber</t>
  </si>
  <si>
    <t>0333-4127274</t>
  </si>
  <si>
    <t>kissancarelahore@gmail.com</t>
  </si>
  <si>
    <t xml:space="preserve">Lala Agro Sciences </t>
  </si>
  <si>
    <t>Lala Agro Sciences Head Offce Room No 12 2nd Floor Kasi Plaza New Zarghoon Road Quetta</t>
  </si>
  <si>
    <t>54400-9193979-1</t>
  </si>
  <si>
    <t>Haji Abdul Qahir</t>
  </si>
  <si>
    <t>A046241</t>
  </si>
  <si>
    <t>Registration/PP/DG</t>
  </si>
  <si>
    <t xml:space="preserve">LCI Pakistan Limited life Sciences Business </t>
  </si>
  <si>
    <t>ICI Pakistan Limited life Sciences Business ICI House 63 Mozang Road Lahore</t>
  </si>
  <si>
    <t>042-36311271-81</t>
  </si>
  <si>
    <t>0300-8468620</t>
  </si>
  <si>
    <t>www.ici.com.pk</t>
  </si>
  <si>
    <t>Leader AG</t>
  </si>
  <si>
    <t>Leader AG, 50/C-1, Valencia Town, Lahore.</t>
  </si>
  <si>
    <t>36603-7091714-5</t>
  </si>
  <si>
    <t>Rao Muhammad Afzal</t>
  </si>
  <si>
    <t>042-35953797</t>
  </si>
  <si>
    <t>www.yaqoobgroup.com</t>
  </si>
  <si>
    <t>Liberty Agro Chemicals</t>
  </si>
  <si>
    <t>Liberty Agro Chemicals, A-54, 55, Sindh Small Industrial Estate Golimar, Sukkur.</t>
  </si>
  <si>
    <t>0715630762, 0300-2250182</t>
  </si>
  <si>
    <t>Lackhi77@gmail.com</t>
  </si>
  <si>
    <t>Market Develop Solutions (Pvt.) Ltd</t>
  </si>
  <si>
    <t>Market Develop Solutions (Pvt.) Ltd, 4 Y, Block-4, Sector-F, Phase-I, D.H.A. Islamabad.</t>
  </si>
  <si>
    <t>info@marketsolutions.org.pk</t>
  </si>
  <si>
    <t>Masco Fertilizer, Agro Division</t>
  </si>
  <si>
    <t>M/s Masco Fertilizer, Agro Division, Block-II, Gulshan-e-Iqbal,  Karachi</t>
  </si>
  <si>
    <t>masco.fad@gmail.com</t>
  </si>
  <si>
    <t>Mashal Agro Chemicals</t>
  </si>
  <si>
    <t>Mashal Agro Chemicals, Office A-235, Block 8, 2nd Floor, Gul State, Gulshan-e-Johar, Karachi.</t>
  </si>
  <si>
    <t>0311-4916110, 0307-2345633</t>
  </si>
  <si>
    <t>mashalagro786@gmail.com</t>
  </si>
  <si>
    <t>Matchless crop scinces (Pvt) Ltd</t>
  </si>
  <si>
    <t xml:space="preserve">Plot No 23-A.Near Survet 144 Quetta </t>
  </si>
  <si>
    <t>54400-6710964-5</t>
  </si>
  <si>
    <t xml:space="preserve">Muhammad Dawood </t>
  </si>
  <si>
    <t xml:space="preserve">nil </t>
  </si>
  <si>
    <t xml:space="preserve">matchlesscropscience@gmail.com </t>
  </si>
  <si>
    <t>Maverick Bio Chemical Pvt (Ltd)</t>
  </si>
  <si>
    <t>Shop No 8 New Al Shaikh Plaza Near shah Pump RCD Road Hub</t>
  </si>
  <si>
    <t>54401-9711747-1</t>
  </si>
  <si>
    <t>Waseem aslam</t>
  </si>
  <si>
    <t>MDS Agro Tech (Pvt) Ltd</t>
  </si>
  <si>
    <t>Plot no 106 Phase II Industrial Estate Multan</t>
  </si>
  <si>
    <t>16101-4611758-7</t>
  </si>
  <si>
    <t>Ghulam Farooq</t>
  </si>
  <si>
    <t>061-6537811</t>
  </si>
  <si>
    <t>info@mdsargotech.com</t>
  </si>
  <si>
    <t>MIC Corporation</t>
  </si>
  <si>
    <t>M/S. MIC Corporation Plot,1 Street 22B-Zaharia Town Multan.</t>
  </si>
  <si>
    <t>061-6536565</t>
  </si>
  <si>
    <t>www.migroup.pk</t>
  </si>
  <si>
    <t>Moon Star Agro Chemicals</t>
  </si>
  <si>
    <t>Moon Star Agro Chemicals, Shop No.1, Waseem Height, Block-13, Gulberg, Karachi.</t>
  </si>
  <si>
    <t>0300-9279310, 0300-9235905</t>
  </si>
  <si>
    <t>adamjee@yahoo.com</t>
  </si>
  <si>
    <t>N.B Crop Scinces</t>
  </si>
  <si>
    <t xml:space="preserve">NB Crop Sciences Shop No. K-51, Karachi Road New Sabzi Mandi Hazar Ganji Quetta. </t>
  </si>
  <si>
    <t>0334-6451624</t>
  </si>
  <si>
    <t>nbcropsciences@gmail.com</t>
  </si>
  <si>
    <t>Natural Collection Agro Services (Pvt.) Ltd</t>
  </si>
  <si>
    <t>Natural Collection Agro Services (Pvt.) Ltd, R.C.D. Road, Hub near Karachi/Usman Plaza Yet Road Quetta.</t>
  </si>
  <si>
    <t>Nongyao International (Pvt) Ltd</t>
  </si>
  <si>
    <t>Plot No F/12, Near Gulshan-e-Zeeal Pak Colony,Site Area Hyderabad</t>
  </si>
  <si>
    <t>36304-7202680-7</t>
  </si>
  <si>
    <t>Muhammad Raza</t>
  </si>
  <si>
    <t>0306-6664296</t>
  </si>
  <si>
    <t>hrnongyao@gmail.com</t>
  </si>
  <si>
    <t>Nova Bio Tech (Pvt) Ltd</t>
  </si>
  <si>
    <t>Nova Bio Tech (Pvt) Ltd Room 1325 14th Floor BRR Tower I.I Chandrigar Road Karachi</t>
  </si>
  <si>
    <t>gilanirahim5@gmail.com</t>
  </si>
  <si>
    <t xml:space="preserve">Nova Crop Sciences (Pvt) Ltd </t>
  </si>
  <si>
    <t xml:space="preserve">H# 3 Block B-1 RECHS Near DIB Bank Main Auto Bhan Road Latifabad # 3 Hyderabad </t>
  </si>
  <si>
    <t>132584/Registration/PP?2023</t>
  </si>
  <si>
    <t>022-3407121</t>
  </si>
  <si>
    <t xml:space="preserve">novacropscience@gmail.com </t>
  </si>
  <si>
    <t>Nuchem (Pvt.) Ltd</t>
  </si>
  <si>
    <t>Nuchem (Pvt.) Ltd, 101/4, Industrial Estate, Multan.</t>
  </si>
  <si>
    <t>061-6538229, 6537229</t>
  </si>
  <si>
    <t>Oqab Chemicals (Pvt.) Ltd</t>
  </si>
  <si>
    <t>Oqab Chemicals (Pvt.) Ltd, Sun Shine, Rabia Road, Khuzdar.</t>
  </si>
  <si>
    <t>0848-413585, 0333-7972106</t>
  </si>
  <si>
    <t>jjattak@gmail.com</t>
  </si>
  <si>
    <t xml:space="preserve">Orange </t>
  </si>
  <si>
    <t>M/S Orange Protection PVT Ltd 23-A Wahdat Road Muslim Town Lahore</t>
  </si>
  <si>
    <t>042-37568069</t>
  </si>
  <si>
    <t>info@orangeprotection.com</t>
  </si>
  <si>
    <t>Pak Farming Care (Pvt) Limited</t>
  </si>
  <si>
    <t>Pak Farming Care (Pvt) Limited 760,E Shah Rakn-e-Alam Colony Multan</t>
  </si>
  <si>
    <t>061-6770222</t>
  </si>
  <si>
    <t>Pak Pansy Pvt Ltd</t>
  </si>
  <si>
    <t xml:space="preserve">Plot No. 4 Ahmed Town Survey No.212 Block 2 Azizabad Commercial Area Karachi </t>
  </si>
  <si>
    <t>021-36348045, 021-36372705</t>
  </si>
  <si>
    <t>m.ather@hotmail.com</t>
  </si>
  <si>
    <t>Pak Turk Agro Chemicals</t>
  </si>
  <si>
    <t>Pak Turk Agro Chemicals, 463 E-Block, Shah Rukn-E-Alam Colony, Multan.</t>
  </si>
  <si>
    <t>061-4020418</t>
  </si>
  <si>
    <t>Pakistan Agro Chemicals(Pvt) Ltd</t>
  </si>
  <si>
    <t>Pakistan Agro Chemicals(Pvt) Ltd. 38-C/IV Block No. 6 P.E.C.E Karachi.</t>
  </si>
  <si>
    <t>021-32550460</t>
  </si>
  <si>
    <t>pakagro@cyber.net.pk</t>
  </si>
  <si>
    <t xml:space="preserve">Pan Pacific (Pvt:) Ltd. </t>
  </si>
  <si>
    <t>Pan Pacific (Pvt:) Ltd. 12-M, Block-6, P.E.C.H.S., Karachi-75400.</t>
  </si>
  <si>
    <t>021-5063202, 7765201</t>
  </si>
  <si>
    <t>panpacific@live.com</t>
  </si>
  <si>
    <t>Pan Star (Pvt.) Limited</t>
  </si>
  <si>
    <t>Pan Star (Pvt.) Limited, Floor-908, Block-2, P.E.C.H. Karachi.</t>
  </si>
  <si>
    <t>021-34680587</t>
  </si>
  <si>
    <t>panstarpl@yahoo.com ,</t>
  </si>
  <si>
    <t xml:space="preserve">Pannar Enterp: Agro Division </t>
  </si>
  <si>
    <t>Pannar Enterp: Agro Division Gulistan e Johar Karachi.</t>
  </si>
  <si>
    <t>021-34612256</t>
  </si>
  <si>
    <t xml:space="preserve">Panstar crop sciences </t>
  </si>
  <si>
    <t>FL-2,Secend Flor Block -A Dalmia road Gullshan e Jamal Karachi</t>
  </si>
  <si>
    <t>42201-4895525-6</t>
  </si>
  <si>
    <t>Ikhlaq Ahmed</t>
  </si>
  <si>
    <t>panstarpl@gmail.com</t>
  </si>
  <si>
    <t xml:space="preserve">Patron Chemical </t>
  </si>
  <si>
    <t>Patron Chemical office 101,4-Industrial Estate Multan</t>
  </si>
  <si>
    <t>061-6538229</t>
  </si>
  <si>
    <t>info@patronchemicals.com</t>
  </si>
  <si>
    <t>Plant 4 Life (Pvt.) Limited</t>
  </si>
  <si>
    <t>Plant 4 Life (Pvt.) Limited, Sector-6 G, Korangi Industrial Area/10-A, Muhammad Ali Bogra road, Bath Island, Karachi.</t>
  </si>
  <si>
    <t>021-35884581</t>
  </si>
  <si>
    <t>www.plant4life.com.pk</t>
  </si>
  <si>
    <t>Power Crop Sciences</t>
  </si>
  <si>
    <t>54 Industrail Estate, Phase-1- Multan</t>
  </si>
  <si>
    <t>374-MR</t>
  </si>
  <si>
    <t>powercropsciences@gmail.com</t>
  </si>
  <si>
    <t xml:space="preserve">R.B Avari Enterprises (Pvt) Limited </t>
  </si>
  <si>
    <t>R,B Avari Enterprises (Pvt) Limited Main Clifton Road Karachi</t>
  </si>
  <si>
    <t>favarenterprises@hotmail.com</t>
  </si>
  <si>
    <t xml:space="preserve">R.S Enterprises </t>
  </si>
  <si>
    <t>R.S Enterprises Office 1,33 C-15 Commercail Street Phase II DHA Karachi</t>
  </si>
  <si>
    <t>021-35397886</t>
  </si>
  <si>
    <t>rksherwani@yahoo.com</t>
  </si>
  <si>
    <t>Rachna Agro Chemicals (Pvt) Ltd</t>
  </si>
  <si>
    <t>Rachna Complex Shaikho Pora road Gujranwala pakistan</t>
  </si>
  <si>
    <t>34101-2615959-5</t>
  </si>
  <si>
    <t>Muhammad Asim But</t>
  </si>
  <si>
    <t>0310-5700202</t>
  </si>
  <si>
    <t>registration@rachnaagro.com</t>
  </si>
  <si>
    <t>Regal Agro Services (Pvt) Ltd</t>
  </si>
  <si>
    <t>Royal Building Zarghon Road opposite Barech market Quetta</t>
  </si>
  <si>
    <t>55401-9670626-7</t>
  </si>
  <si>
    <t>Hafizullah</t>
  </si>
  <si>
    <t>hafizullahdotani@gmail.com</t>
  </si>
  <si>
    <t xml:space="preserve">Rehmat Ullah &amp; Company </t>
  </si>
  <si>
    <t>Rehmat Ullah &amp; Company No.14 Killi Khesi Smungli Road Quetta</t>
  </si>
  <si>
    <t>Rehmat333973@gmail.com</t>
  </si>
  <si>
    <t xml:space="preserve">Rise AG-Pakistan </t>
  </si>
  <si>
    <t xml:space="preserve">Rise AG-Pakistan Plot # 312, Industrial Estate Phase-II Multan </t>
  </si>
  <si>
    <t>061-6538841</t>
  </si>
  <si>
    <t>ceo@riseag.com.pk</t>
  </si>
  <si>
    <t xml:space="preserve">Rising Agro Chemiclas </t>
  </si>
  <si>
    <t>Rising Agro Chemicals Room No 101 1st Floor Muslim Plaza Basant Singh Lane Quetta</t>
  </si>
  <si>
    <t>0333-7814130</t>
  </si>
  <si>
    <t>Najeebullah859@yahoo.com</t>
  </si>
  <si>
    <t xml:space="preserve">Rizwan Agro Product Company </t>
  </si>
  <si>
    <t>Rizwan Agro Product Company Shop # 258 Fruit &amp; Vegetable Market Hazar Ganji Quetta</t>
  </si>
  <si>
    <t xml:space="preserve">Roshan Crop Sciences </t>
  </si>
  <si>
    <t>Roshan Crop Sciences House # C-77 Tricon Village Lahore</t>
  </si>
  <si>
    <t>0300-843840</t>
  </si>
  <si>
    <t>Royal Pesticide Chemicals (Pvt)Ltd</t>
  </si>
  <si>
    <t>Shop No D 3-4 Near Fruit Market Karachi Road Hazar ganji pakistan</t>
  </si>
  <si>
    <t>54401-3220228-7</t>
  </si>
  <si>
    <t>Bhawal Khan</t>
  </si>
  <si>
    <t>Rudolf Life Sciences Pvt Ltd</t>
  </si>
  <si>
    <t>M/S Rudolf Life Sciences Pvt Ltd W 17 Doctors society Canal Bank Lahore</t>
  </si>
  <si>
    <t>S Essa Agro</t>
  </si>
  <si>
    <t>603 6th Flore Business center Mumtaz Hussain Road Karachi</t>
  </si>
  <si>
    <t>42301-8575178-5</t>
  </si>
  <si>
    <t>Ibrahim Shafi Kapadia</t>
  </si>
  <si>
    <t>021-32428518</t>
  </si>
  <si>
    <t>office@sessaagro.com</t>
  </si>
  <si>
    <t>S Essa Farm Chemicals</t>
  </si>
  <si>
    <t>403, Business Plaza Mumtaz Hussain Road off.1.1 Chandrigar road Karachi</t>
  </si>
  <si>
    <t>Ather Rehman</t>
  </si>
  <si>
    <t>itesessa@khaiber.net.pk</t>
  </si>
  <si>
    <t>S.Essa Karachi.</t>
  </si>
  <si>
    <t xml:space="preserve">S.Essa Karachi. 403 Business Plaza, Mumtaz Hasssn Road Off. I.I Chunndrigar Road Karachi </t>
  </si>
  <si>
    <t>021-32467379, 37637252</t>
  </si>
  <si>
    <t>0333-0232514</t>
  </si>
  <si>
    <t>itcsessa@cyber.net.pk</t>
  </si>
  <si>
    <t>Sanabil Agro services</t>
  </si>
  <si>
    <t xml:space="preserve">Sayban  International </t>
  </si>
  <si>
    <t>Sayban  International Head Office Plant 33-Km Multan Road, Lahore.</t>
  </si>
  <si>
    <t>See Green Pesticide Co,</t>
  </si>
  <si>
    <t>See Green Pesticide Co, Masood Tarace, SB 25, Flate No. B-3,  Gulshan-e-Iqbal, Karachi-75400.</t>
  </si>
  <si>
    <t xml:space="preserve">Sharun International Company </t>
  </si>
  <si>
    <t xml:space="preserve">Sharun International Company  Nawab Dynasty Plot 1C Zamzama Commercial Lane-1 Phase 5 DHA Karachi </t>
  </si>
  <si>
    <t>0332-8994800</t>
  </si>
  <si>
    <t>0300-3110240</t>
  </si>
  <si>
    <t>naqqulram@gmail.com</t>
  </si>
  <si>
    <t>Sino crop sciences</t>
  </si>
  <si>
    <t>Sinopak Chemicals</t>
  </si>
  <si>
    <t>Sinopak Chemicals, plot No. 48, Industrial state Phase 11, Multan.</t>
  </si>
  <si>
    <t>061-6514181</t>
  </si>
  <si>
    <t>www.sinopakchemicals.com</t>
  </si>
  <si>
    <t>SohailAgro Chemicals(SAC)</t>
  </si>
  <si>
    <t>Solex Chemicals (Pvt.) Limited</t>
  </si>
  <si>
    <t>Solex Chemicals (Pvt.) Limited, 25/A-II Industrial Estate, Multan.</t>
  </si>
  <si>
    <t>061-4556102, 4550208, 061-6776102-3</t>
  </si>
  <si>
    <t>info@solex.com.pk</t>
  </si>
  <si>
    <t xml:space="preserve">SONA chemicals </t>
  </si>
  <si>
    <t xml:space="preserve">93-A Khayaban-e-Sarwar, Dera Ghazi Khan Phunjab Pakistan </t>
  </si>
  <si>
    <t>064-2463222</t>
  </si>
  <si>
    <t>www.sonachemicals.com.pk</t>
  </si>
  <si>
    <t xml:space="preserve">Standard Agro Chemicals Int. </t>
  </si>
  <si>
    <t>Standard Agro Chemicals Int. FL 3/10, Block No. 5, Near  Mr. Burger, Main Rashid Minhas Road, Gulshan-e-Iqbal, Karachi.</t>
  </si>
  <si>
    <t>021-34988945</t>
  </si>
  <si>
    <t>info@saci,com.pk</t>
  </si>
  <si>
    <t xml:space="preserve">Star Industries Pvt Ltd </t>
  </si>
  <si>
    <t xml:space="preserve">Office No. 1 Block G-II, Cnal Bank Johar Town Lahore Pakistan </t>
  </si>
  <si>
    <t>042-111223388</t>
  </si>
  <si>
    <t>Sun Agro Chemicals</t>
  </si>
  <si>
    <t>SunCrop Pesticides 8-B Industrial  Estate, Multan.</t>
  </si>
  <si>
    <t>SunCrop Pesticides  (new Reg 724)</t>
  </si>
  <si>
    <t>8/B Industrial Estate Multan Pakistan</t>
  </si>
  <si>
    <t>061-111-580-580</t>
  </si>
  <si>
    <t>info@sungro.com.pk</t>
  </si>
  <si>
    <t>Sungro (Pvt:) Ltd  S-8</t>
  </si>
  <si>
    <t>Sursubz Agro Chemicals</t>
  </si>
  <si>
    <t>Sursubz Agro Chemicals, Office III, 1st Floor, Mashriq Centre, Block 14, Gulshan-e-Iqbal Near D.C. East Office  Karachi</t>
  </si>
  <si>
    <t>021-34891015</t>
  </si>
  <si>
    <t>sursabz@gmail.com</t>
  </si>
  <si>
    <t>Swat Agro Traders, Quetta.</t>
  </si>
  <si>
    <t>081-2471611</t>
  </si>
  <si>
    <t>Syngenta, Pakistan, Karachi.</t>
  </si>
  <si>
    <t>021-38677200</t>
  </si>
  <si>
    <t>Tara Crop Sciences (Pvt) Ltd</t>
  </si>
  <si>
    <t>Chunnia bypass road 28 Km tokar niaz baig lahore Pakistan</t>
  </si>
  <si>
    <t>Khalid hameed</t>
  </si>
  <si>
    <t>092-42111223388</t>
  </si>
  <si>
    <t>Tara Imperial Industries (Pvt.) Ltd,</t>
  </si>
  <si>
    <t>Tara Imperial Industries (Pvt.) Ltd, No. 1, Block G II, Canal Bank Johar Town, Lahore.</t>
  </si>
  <si>
    <t>042-111-22-33-88</t>
  </si>
  <si>
    <t>The Seed Company (Pvt) Ltd</t>
  </si>
  <si>
    <t xml:space="preserve">4th Flore Namco Center,Compbell stret Karachi </t>
  </si>
  <si>
    <t>42301-4550281-1</t>
  </si>
  <si>
    <t>Bilal Tariq</t>
  </si>
  <si>
    <t>021-32626358</t>
  </si>
  <si>
    <t>nill</t>
  </si>
  <si>
    <t>Top Star Agro Chemicals</t>
  </si>
  <si>
    <t>Top Star Agro Chemicals, Office-C-310/5, Block-19, Gulshan-e-Johar, Karachi.</t>
  </si>
  <si>
    <t>0311-4651131</t>
  </si>
  <si>
    <t>Staragrochemicals999@gmail.com</t>
  </si>
  <si>
    <t>Topsun Chemicals Enterprises</t>
  </si>
  <si>
    <t>Topsun Chemicals Enterprises, Khayaban-e-Sarwar, Dera Ghazi Khan.</t>
  </si>
  <si>
    <t>Total Care pesticides Multan</t>
  </si>
  <si>
    <t>UAQ Chemical Industry</t>
  </si>
  <si>
    <t>UAQ Chemical Industry, 62-A, Industrial Estate, Multan.</t>
  </si>
  <si>
    <t>061-6537818</t>
  </si>
  <si>
    <t>Uni Agro Pakistan</t>
  </si>
  <si>
    <t>Uni Agro Pakistan, 18 C, 4th Floor, Itehad Commercial, I DHA, Karachi.</t>
  </si>
  <si>
    <t>0336-2082307</t>
  </si>
  <si>
    <t>uniagropakistan@gmail.com</t>
  </si>
  <si>
    <t>United Agro Chemical</t>
  </si>
  <si>
    <t>United Agro Chemical, 417, Mashriq Centre, Block 14, Gulshan-e-Iqbal, Karachi.</t>
  </si>
  <si>
    <t>United Distributor, Pakistan, Limited</t>
  </si>
  <si>
    <t>United Distributor, Pakistan, Limited, 9 Floor, NTC Building Abbasi Shaheed road, Karachi.</t>
  </si>
  <si>
    <t>021-3563-5514</t>
  </si>
  <si>
    <t>www.udpl.com.pk</t>
  </si>
  <si>
    <t>United Supper Crops</t>
  </si>
  <si>
    <t>office No 2 Plot-33 Industrial Estate Phase 2 Multan</t>
  </si>
  <si>
    <t>41207-3779771-1</t>
  </si>
  <si>
    <t>Haresh Kumar</t>
  </si>
  <si>
    <t>2017-18/0336</t>
  </si>
  <si>
    <t>0300-0989990</t>
  </si>
  <si>
    <t>info@unitedsuppercrops.com</t>
  </si>
  <si>
    <t>Vanguard Agri Science (Pvt)Ltd</t>
  </si>
  <si>
    <t>106 Industrial Estate Phase 2 Multan Pakistan</t>
  </si>
  <si>
    <t>061-653781</t>
  </si>
  <si>
    <t>info.vanguardagri@gmail.com</t>
  </si>
  <si>
    <t>Ventus Agro(Pvt)Ltd</t>
  </si>
  <si>
    <t>0308-632376</t>
  </si>
  <si>
    <t>Rafiq.ali@ventusagro.com</t>
  </si>
  <si>
    <t>Village Agro (SMC-PIRVATE) Limited</t>
  </si>
  <si>
    <t>Zero Point Main RCD Road Khuzdar Balochistan Pakistan</t>
  </si>
  <si>
    <t>51404-4770218-3</t>
  </si>
  <si>
    <t>Abdul Latif</t>
  </si>
  <si>
    <t>0333-8887388</t>
  </si>
  <si>
    <t>latifzehri33@gmail.com</t>
  </si>
  <si>
    <t xml:space="preserve">Warble (Pvt.) Ltd. </t>
  </si>
  <si>
    <t>Warble (Pvt.) Ltd. Suite No. 18, 3rd Floor,Shan Arcade, New Garden Town, Lahore.</t>
  </si>
  <si>
    <t>042-35838850-1</t>
  </si>
  <si>
    <t>Welcon Chemicals (Pvt.) Ltd</t>
  </si>
  <si>
    <t>Welcon Chemicals (Pvt.) Ltd, Sutie # 18, 3rd Floor, Shan Arcade, New Garden Town, Lahore.</t>
  </si>
  <si>
    <t>042-58388850</t>
  </si>
  <si>
    <t>White Agro chemicals</t>
  </si>
  <si>
    <t>White Agro chemicals house no.214 Martoi Mualla Osta Muhammad Balochistan</t>
  </si>
  <si>
    <t>0300-8971250</t>
  </si>
  <si>
    <t>Whiteagro200@gmail.com</t>
  </si>
  <si>
    <t>Zakir Hussain</t>
  </si>
  <si>
    <t>081-2825257</t>
  </si>
  <si>
    <t>Zarghoon Agro Land</t>
  </si>
  <si>
    <t>Zarghoon Zarai Corporation Sirki Road, Quetta.</t>
  </si>
  <si>
    <t>53nizam.uddin@gmail.com</t>
  </si>
  <si>
    <t>Zillion Agro-chemicals</t>
  </si>
  <si>
    <r>
      <t>Flat No. D-10</t>
    </r>
    <r>
      <rPr>
        <u/>
        <sz val="10"/>
        <color rgb="FFFF0000"/>
        <rFont val="Calibri"/>
        <family val="2"/>
        <scheme val="minor"/>
      </rPr>
      <t xml:space="preserve">4 </t>
    </r>
    <r>
      <rPr>
        <sz val="10"/>
        <color rgb="FFFF0000"/>
        <rFont val="Calibri"/>
        <family val="2"/>
        <scheme val="minor"/>
      </rPr>
      <t xml:space="preserve">, Block -10 Yasir Trrace Phase-1 Gulistan -e-Johar Karachi </t>
    </r>
  </si>
  <si>
    <r>
      <t>raheesbahawalkhan</t>
    </r>
    <r>
      <rPr>
        <b/>
        <u/>
        <sz val="10"/>
        <color rgb="FF0563C1"/>
        <rFont val="Calibri"/>
        <family val="2"/>
        <scheme val="minor"/>
      </rPr>
      <t>gmail.com</t>
    </r>
  </si>
  <si>
    <t>S.No</t>
  </si>
  <si>
    <t>Name</t>
  </si>
  <si>
    <t>Name Of CEO</t>
  </si>
  <si>
    <t>Gmail</t>
  </si>
  <si>
    <t>TS 1</t>
  </si>
  <si>
    <t>TS2</t>
  </si>
  <si>
    <t>PCPA/Croplife</t>
  </si>
  <si>
    <t>NTN #</t>
  </si>
  <si>
    <t>Dealers</t>
  </si>
  <si>
    <t>chalan #</t>
  </si>
  <si>
    <t>Amount</t>
  </si>
  <si>
    <t>CSR</t>
  </si>
  <si>
    <t>RD</t>
  </si>
  <si>
    <t>Samples#</t>
  </si>
  <si>
    <t>PTCL</t>
  </si>
  <si>
    <t>Contact</t>
  </si>
  <si>
    <t>PCPA</t>
  </si>
  <si>
    <t>M Ashraf</t>
  </si>
  <si>
    <t>0300-3892412</t>
  </si>
  <si>
    <t>Hamayoun</t>
  </si>
  <si>
    <t>0343-8026540</t>
  </si>
  <si>
    <t>A.M.B. Agro Division, Room No. 122, 
Kasi Plaza, Zarghoon Road, Quetta.</t>
  </si>
  <si>
    <t xml:space="preserve">Quetta (5), Sibi (1) </t>
  </si>
  <si>
    <t>Paid</t>
  </si>
  <si>
    <t xml:space="preserve">Pendimethalin 33% 
Chlopyrifos 40% 
Propergite 57%
Glyphosate 41%
Emamectin Benzoate 1.9%
Metalaxyl + Mencozeb </t>
  </si>
  <si>
    <t xml:space="preserve">No Provided </t>
  </si>
  <si>
    <t>aasiagro@gmail.com</t>
  </si>
  <si>
    <t>58/RF/RYK/PP/DGAE</t>
  </si>
  <si>
    <t>Mansoor Ahmed</t>
  </si>
  <si>
    <t>0300-2238184</t>
  </si>
  <si>
    <t>Shahzado</t>
  </si>
  <si>
    <t>0300-3226677</t>
  </si>
  <si>
    <t>Shop No 23-RCC Plaza, Sabzal Road Quetta</t>
  </si>
  <si>
    <t>Khuzdar (8)</t>
  </si>
  <si>
    <t>No Paid</t>
  </si>
  <si>
    <t>Bromoxynin + MCPA
Chlopyrifos 40% 
Imidacloprida
Emamectin Benzoate
Lambda Chyhalothrin
Thiophanate Methyl</t>
  </si>
  <si>
    <t>Ghazanfar Ali</t>
  </si>
  <si>
    <t>head.mkt@evyoigroup.com</t>
  </si>
  <si>
    <t>0301-8488282</t>
  </si>
  <si>
    <t>042-35302086</t>
  </si>
  <si>
    <t>Zafar Ullah</t>
  </si>
  <si>
    <t>0306-2070562</t>
  </si>
  <si>
    <t>M Khalil</t>
  </si>
  <si>
    <t>0336-3283708</t>
  </si>
  <si>
    <t>Jafarabad
Lorali
Khuzdar
Lasbela
Quetta</t>
  </si>
  <si>
    <t xml:space="preserve">Fiumax 60%, Metafin Super 28.6%, Cocept plus 35%, Atrasan Super 43%, Dominate Gold 88.8%, Velocity 5%, Mover plus 
4.3%, instar 5%, Pre Act96%, Farm Clean 30%, Brodex 56%
</t>
  </si>
  <si>
    <t xml:space="preserve">Provided </t>
  </si>
  <si>
    <t>Hameed Raza</t>
  </si>
  <si>
    <t>Mehrab Khan</t>
  </si>
  <si>
    <t>0333-3219568</t>
  </si>
  <si>
    <t xml:space="preserve">Syed Mehmood </t>
  </si>
  <si>
    <t>0333-1384625</t>
  </si>
  <si>
    <t>Lambda Cyhalothrin  2.5 %EC&amp; 96% TC, Imidacloprid 20%WP&amp;95% TC, Lufenoron, Emamectin Benzoate 1.9% SC&amp; 90% TC, Glyphosate 480 SL &amp;95%TC, Acetochlor 50% EC &amp;93% TC, Acetamiprid 20% SP &amp;96% TC, Gengwei (Mesotrione + Atrazine) 55% SC, Buprofezin 25% WP &amp;98% TC, Metlaxyl+Mencozeb 72% WP, Cymoxanil+Mancozeb 72% WP, Tri-Ultra 25%OD.</t>
  </si>
  <si>
    <t>Zaid Iqbal</t>
  </si>
  <si>
    <t>35202-3015806-5</t>
  </si>
  <si>
    <t>M Akeel Khan</t>
  </si>
  <si>
    <t>0346-8303704</t>
  </si>
  <si>
    <t>M Azeem</t>
  </si>
  <si>
    <t>0333-7804831</t>
  </si>
  <si>
    <t>Quetta (2)</t>
  </si>
  <si>
    <t>Sulphur 80 % WG, Chloropyrifos 40% EC, Imidacloprid 25%WP, Thiamethoxam 25%WDG, Fipronil 4G, Pendamethalin 33% EC, Difenoconazole 20%EC, Abamectin 1.8%EC, Clodinafop-Propargyl 15%WP, Emamectin Benzoate 1.9% SC, Leofenoron+ Emamectin.</t>
  </si>
  <si>
    <t>Hafi Syed Noor</t>
  </si>
  <si>
    <t>54302-0781809-1</t>
  </si>
  <si>
    <t>0306-3718168</t>
  </si>
  <si>
    <t>Ghulam Qadir</t>
  </si>
  <si>
    <t>Amir Kareem</t>
  </si>
  <si>
    <t>Khuzdar (3)
Nushki (3)</t>
  </si>
  <si>
    <t>Fentin Acetate 45%WP, Difenoconazol 2.5% EC &amp; 98% TC, Imidacloprid 25%WP&amp;97% TECH, Tiphos 45%EC,Abamectin 1.8 % EC, Emamectin 1%, Sulfur 80%, Chlorofenapyr 36% SC, Monomehypo 5% G, Fluroxypyr 20% EC, Clodinafop-Propargyl 15%, WP, Thiamethoxam 25% WG, Fipronil 0.4% G, Li man tian 16% OD, Acetamaprid 20% SP, Acetochlor 50%EC, Butachlor 60% EC, Gengwei 55% SC, Paraquat 20% SC, Telsta 20% SC, Chloropyrifos 40% EC, Emamectin Benzoate 1.9% EC, Fipronil 5% SC, Glyphosate 48% SL, Lambdacyhalothrin 2.5%, Bifenthrin 10% EC, Thiophanate Methyl 70%WP.</t>
  </si>
  <si>
    <t>Not Provided</t>
  </si>
  <si>
    <t>0301-3038976</t>
  </si>
  <si>
    <t>013706/PP/DGAE</t>
  </si>
  <si>
    <t>Abdul Manan</t>
  </si>
  <si>
    <t>0301-3773881</t>
  </si>
  <si>
    <t>M Alam</t>
  </si>
  <si>
    <t>Thiamethoxam 25%, Triazophos 40%, Lambda-Cyhalothrin 10%,PUL-Control 50%,Bromoxynil +MCPA, Ful-Clear, Sega Pestaclear, Fipronil, Metalaxyl+Mancozeb, S-Metolachlor, Abamectin, Acetamiprid, Bifenthrin</t>
  </si>
  <si>
    <t>No Provided</t>
  </si>
  <si>
    <t>Phone #</t>
  </si>
  <si>
    <t>Licenses Exp</t>
  </si>
  <si>
    <t>26-11-2026</t>
  </si>
  <si>
    <t>2-1-2027</t>
  </si>
  <si>
    <t>21-2-2020</t>
  </si>
  <si>
    <t>20-2-2021</t>
  </si>
  <si>
    <t>3-5-2027</t>
  </si>
  <si>
    <t>2-4-2026</t>
  </si>
  <si>
    <t>10-11-2027</t>
  </si>
  <si>
    <t>17-5-2019</t>
  </si>
  <si>
    <t>16-11-2019</t>
  </si>
  <si>
    <t>17-5-2027</t>
  </si>
  <si>
    <t>20-7-2026</t>
  </si>
  <si>
    <t>4-12-2026</t>
  </si>
  <si>
    <t>--</t>
  </si>
  <si>
    <t>16-1-2027</t>
  </si>
  <si>
    <t>3-4-2020</t>
  </si>
  <si>
    <t>24-10-2026</t>
  </si>
  <si>
    <t>18-6-2022</t>
  </si>
  <si>
    <t>26-2-2026</t>
  </si>
  <si>
    <t>19-7-2026</t>
  </si>
  <si>
    <t>23-1-2024</t>
  </si>
  <si>
    <t>27-7-2020</t>
  </si>
  <si>
    <t>14-5-2026</t>
  </si>
  <si>
    <t>16-12-2023</t>
  </si>
  <si>
    <t>9-8-2026</t>
  </si>
  <si>
    <t>21-1-2027</t>
  </si>
  <si>
    <t>4-1-2027</t>
  </si>
  <si>
    <t>7-12-2023</t>
  </si>
  <si>
    <t>9-11-2019</t>
  </si>
  <si>
    <t>10-8-2024</t>
  </si>
  <si>
    <t>28-6-2021</t>
  </si>
  <si>
    <t>5-2-2021</t>
  </si>
  <si>
    <t>28-9-2025</t>
  </si>
  <si>
    <t>28-9-2020</t>
  </si>
  <si>
    <t>5-3-2021</t>
  </si>
  <si>
    <t>11-7-2024</t>
  </si>
  <si>
    <t>9-7-2026</t>
  </si>
  <si>
    <t>19-12-2026</t>
  </si>
  <si>
    <t>30-12-2017</t>
  </si>
  <si>
    <t>10-1-2025</t>
  </si>
  <si>
    <t>22-11-2026</t>
  </si>
  <si>
    <t>5-6-2024</t>
  </si>
  <si>
    <t>8-8-2026</t>
  </si>
  <si>
    <t>6-8-2026</t>
  </si>
  <si>
    <t>19-4-2024</t>
  </si>
  <si>
    <t>13-7-2026</t>
  </si>
  <si>
    <t>27-6-2025</t>
  </si>
  <si>
    <t>15-1-2027</t>
  </si>
  <si>
    <t>30-5-2025</t>
  </si>
  <si>
    <t>7-9-2025</t>
  </si>
  <si>
    <t>17-5-2021</t>
  </si>
  <si>
    <t>23-5-2020</t>
  </si>
  <si>
    <t>28-5-2018</t>
  </si>
  <si>
    <t>23-4-2020</t>
  </si>
  <si>
    <t>23-5-2026</t>
  </si>
  <si>
    <t>24-7-2026</t>
  </si>
  <si>
    <t>17-12-2026</t>
  </si>
  <si>
    <t>27-12-2026</t>
  </si>
  <si>
    <t>20-2-2020</t>
  </si>
  <si>
    <t>12-7-2026</t>
  </si>
  <si>
    <t>10-8-2026</t>
  </si>
  <si>
    <t>21-12-2019</t>
  </si>
  <si>
    <t>31-5-2026</t>
  </si>
  <si>
    <t>31-3-2026</t>
  </si>
  <si>
    <t>19-6-2026</t>
  </si>
  <si>
    <t>9-1-2027</t>
  </si>
  <si>
    <t>12-7-2023</t>
  </si>
  <si>
    <t>7-12-2026</t>
  </si>
  <si>
    <t>14-1-2026</t>
  </si>
  <si>
    <t>28-1-2021</t>
  </si>
  <si>
    <t>12-12-2019</t>
  </si>
  <si>
    <t>22-1-2020</t>
  </si>
  <si>
    <t>10-9-2026</t>
  </si>
  <si>
    <t>29-11-2026</t>
  </si>
  <si>
    <t>26-11-2025</t>
  </si>
  <si>
    <t>17-8-2025</t>
  </si>
  <si>
    <t>10-5-2023</t>
  </si>
  <si>
    <t>6-4-2026</t>
  </si>
  <si>
    <t>23-12-2019</t>
  </si>
  <si>
    <t>5-10-2026</t>
  </si>
  <si>
    <t>7-1-2027</t>
  </si>
  <si>
    <t>1-8-2021</t>
  </si>
  <si>
    <t>15-5-2020</t>
  </si>
  <si>
    <t>14-10-2024</t>
  </si>
  <si>
    <t>16-11-2020</t>
  </si>
  <si>
    <t>4-5-2019</t>
  </si>
  <si>
    <t>5-5-2019</t>
  </si>
  <si>
    <t>18-4-2024</t>
  </si>
  <si>
    <t>15-4-2024</t>
  </si>
  <si>
    <t>25-8-2019</t>
  </si>
  <si>
    <t>25-4-2019</t>
  </si>
  <si>
    <t>4-8-2019</t>
  </si>
  <si>
    <t>25-12-2020</t>
  </si>
  <si>
    <t>2-7-2026</t>
  </si>
  <si>
    <t>11-6-2021</t>
  </si>
  <si>
    <t>19-2-2020</t>
  </si>
  <si>
    <t>20-10-2024</t>
  </si>
  <si>
    <t>12-7-2021</t>
  </si>
  <si>
    <t>19-10-2026</t>
  </si>
  <si>
    <t>24-4-2022</t>
  </si>
  <si>
    <t>2-10-2020</t>
  </si>
  <si>
    <t>29-5-2026</t>
  </si>
  <si>
    <t>8-6-2026</t>
  </si>
  <si>
    <t>31-3-2024</t>
  </si>
  <si>
    <t>17-7-2020</t>
  </si>
  <si>
    <t>3-4-2026</t>
  </si>
  <si>
    <t>22-6-2026</t>
  </si>
  <si>
    <t>12-12-2025</t>
  </si>
  <si>
    <t>30-4-2025</t>
  </si>
  <si>
    <t>12-6-2024</t>
  </si>
  <si>
    <t>3-6-2021</t>
  </si>
  <si>
    <t>9-10-2026</t>
  </si>
  <si>
    <t>11-7-2026</t>
  </si>
  <si>
    <t>29-8-2019</t>
  </si>
  <si>
    <t>24-5-2020</t>
  </si>
  <si>
    <t>27-10-2025</t>
  </si>
  <si>
    <t>1-6-2019</t>
  </si>
  <si>
    <t>22-12-2019</t>
  </si>
  <si>
    <t>25-5-2020</t>
  </si>
  <si>
    <t>2-3-2026</t>
  </si>
  <si>
    <t>20-8-2020</t>
  </si>
  <si>
    <t>6-4-2019</t>
  </si>
  <si>
    <t>26-10-2019</t>
  </si>
  <si>
    <t>18-9-2020</t>
  </si>
  <si>
    <t>Name of Company</t>
  </si>
  <si>
    <t>Name of products</t>
  </si>
  <si>
    <t>Name Of Company</t>
  </si>
  <si>
    <t>Company Name</t>
  </si>
  <si>
    <t>Gmail ID</t>
  </si>
  <si>
    <t>PTCL #</t>
  </si>
  <si>
    <t>PCPA / Crop Life</t>
  </si>
  <si>
    <t>Field Office</t>
  </si>
  <si>
    <t>Chalan Number</t>
  </si>
  <si>
    <t>CNIC #</t>
  </si>
  <si>
    <t>Technical Staff 1</t>
  </si>
  <si>
    <t>Technical Staff 2</t>
  </si>
  <si>
    <t>Licenses Expiry Date</t>
  </si>
  <si>
    <t xml:space="preserve"> CRS</t>
  </si>
  <si>
    <t xml:space="preserve">Employ Details </t>
  </si>
  <si>
    <t>Name of CEO</t>
  </si>
  <si>
    <t xml:space="preserve">Products Details  </t>
  </si>
  <si>
    <t>Products Name</t>
  </si>
  <si>
    <t xml:space="preserve">Samples </t>
  </si>
  <si>
    <t>Company Details</t>
  </si>
  <si>
    <t>Registration #</t>
  </si>
  <si>
    <t>Faheem Ullah</t>
  </si>
  <si>
    <t>0345-8374431</t>
  </si>
  <si>
    <t>Bashir Ahmed</t>
  </si>
  <si>
    <t>0330-5260091</t>
  </si>
  <si>
    <t>Abthox, Black Belt, Carbacta, Challenge, Clenan Bold, Clear All, Coverage, Ego, Exile, Floragem, Fortune, herb Out, Herbistar, Jammer, Panther, Paramount, Raddic, Raubicon, Summital, Tiger, Thor, White Rose</t>
  </si>
  <si>
    <t>107-MR/PP/DGAE/Reg-1</t>
  </si>
  <si>
    <t>Quetta (3)
Khuzdar (1)</t>
  </si>
  <si>
    <t>Atrazine, Buprofezin, Clodinafop, Acetochlor, Chlorfenapyr, Imidacloprid, Emamectin Benzoate, Fipronil, Monomehypo, Daifenthuron</t>
  </si>
  <si>
    <t>Hub (4), Lasbela</t>
  </si>
  <si>
    <t>Saqib Javed</t>
  </si>
  <si>
    <t>0332-2881227</t>
  </si>
  <si>
    <t>Zubair Ahmed</t>
  </si>
  <si>
    <t>0333-7988067</t>
  </si>
  <si>
    <t>Chlorothalonil, Cymoxanil, Cyraclostrobin+Pyrimethanil, Dimethomorph+Mancozeb, Benzisothiazolinone,Pyraclostrobin+Dimethomorph,Sulphur,Fipronil,Monomehypo, Cartap Hydrochloride, Acetochlor, Pendimethalin, Mesotrione, Acetochlor, Atrazine, Florasulam, Mesosulfuron, Fluroxypyr-Meptyl,Mesotrlone, Atrazine, Cyhalofop-Butyl+Metamifop,Mesosulfuron</t>
  </si>
  <si>
    <t>3607170-6</t>
  </si>
  <si>
    <t>Naseer Shaheed Godown or behind Chilltan gheemill Sirki Road Quetta.</t>
  </si>
  <si>
    <t>Usta Muhammad (3)
Dera Murad Jamali (2)
Dera Allah Yar (1)
Hub (2)
Sakran (1)</t>
  </si>
  <si>
    <t>Naseeb Ullah</t>
  </si>
  <si>
    <t>0307-5551331</t>
  </si>
  <si>
    <t>Ubaid Ullah</t>
  </si>
  <si>
    <t>0307-5551334</t>
  </si>
  <si>
    <t>Saad Akbar</t>
  </si>
  <si>
    <t>35201-8497854-7</t>
  </si>
  <si>
    <t>Cartap, Hydrochloride, Propicomazole, Copper, Oxychloride, Bispyribac, Sodium, Bnsulfuron, Lmbda-Cyhalophrin, Imidacloprid, Bromoxynil+MCPA, Fenoxaprop-P-etchyl, Clodinofoppropergyl, Mesosulfuron-Methyl+Iodosulfuron-Methyl, Florasulam+MCPA, Isooctyl+Fluroxypyr-Meptyl, Pendinethalin etc</t>
  </si>
  <si>
    <t>altigaagrisolutions@Gmail.com</t>
  </si>
  <si>
    <t>0143247/PP/2023/DGAE</t>
  </si>
  <si>
    <t>0334-2791939</t>
  </si>
  <si>
    <t>Quetta (5)
Pashin (2)
Ziarat (4)
Harnai (2)
Lorlai (3)
Zohb (1)
Killa Saifullah (1)
Sibi (2)
Dera Murad Jamli (2)
Nushki (2)
Kharan (1)
Khuzdar (1)
Lasbela (1)
Kalat (1)</t>
  </si>
  <si>
    <t>Ahmed Khan</t>
  </si>
  <si>
    <t>Israr Ullah</t>
  </si>
  <si>
    <t>0344-3344792</t>
  </si>
  <si>
    <t>0345-4177337</t>
  </si>
  <si>
    <t>Abamection 1.8%, Acetamiprid 20%, Bifenthrin 10%, Buprofezin 25%, Chlorfenapyr 36%, Profenofos + Cypermethrin 44%, Lambda-Cyhalothrin 2.5%, Glyphosate IPA 48%, Imidacloprid 20%, Imidacloprid 25%, Leufenuron 5%, Azoxystrobin 6%, Methoxyfenozide 24%, MCPA 50%, Pendimethalin 33%, Buprofezin 14%, Pyridaben 15%, Thiamethoxam 25%</t>
  </si>
  <si>
    <t>A657938</t>
  </si>
  <si>
    <t>Quetta (12)
Lorlai (1)
Killa Abdullah (1)
Mangochar (1)</t>
  </si>
  <si>
    <t>Saiq Ullah</t>
  </si>
  <si>
    <t>54400-7361050-7</t>
  </si>
  <si>
    <t>Naveed Ahmed</t>
  </si>
  <si>
    <t>0336-8042075</t>
  </si>
  <si>
    <t>Iftikhar Ahmed</t>
  </si>
  <si>
    <t>0336-8096860</t>
  </si>
  <si>
    <t>Emamection Benzoat, Fenten Acetate, FIPRONIL, Imida Cloprid, Monomehypo, Sulpur, Thiamethoxam, Chloropyrifos, Lambda Cyholothrin, Cypermethrin, Profenofos, Paraquat, Paraquat, Pendimethalin</t>
  </si>
  <si>
    <t>Idress Bazai</t>
  </si>
  <si>
    <t>0335-380070</t>
  </si>
  <si>
    <t>Abdul Lateef</t>
  </si>
  <si>
    <t>0333-9938648</t>
  </si>
  <si>
    <t>Quetta (4)
Dera Murad Jamli (1)
Khuzdar (1)
Harnai (1)
Lorlai (1)
Sorab (1)
Dera Allah Yar (1)</t>
  </si>
  <si>
    <t>Chloprpyrephos,Mortal Plus, Skipper, Gallent, Proper Gite, Nathon, Bio Magic, Flank, Potent, Kelsey, Zip Up, Crusade, Guard Puls, Zarkoon Supper, Zarkoon, Galour Supper, Comus, Microcure, Bunco, Resoter</t>
  </si>
  <si>
    <t>ahmed.ali2@bayer.com</t>
  </si>
  <si>
    <t>0300-4018100</t>
  </si>
  <si>
    <t>Crop Life</t>
  </si>
  <si>
    <t>Ahmed Ali</t>
  </si>
  <si>
    <t>42201-2415335-7</t>
  </si>
  <si>
    <t>Ali Nawaz</t>
  </si>
  <si>
    <t>0301-2295009</t>
  </si>
  <si>
    <t>Essa Khan</t>
  </si>
  <si>
    <t>0347-2687030</t>
  </si>
  <si>
    <t>Kachi (2)
Sohbatpur (1)
Quetta (4)
Khuzdar (1)</t>
  </si>
  <si>
    <t>Flubendiamide, Imidacloprid,Acephate,Deltamethrin, Imidacloprid+Tebuconazole, Spirotetramat,Spiromesifin+Abamectin, Fipronil, Tetraniliprole + Thiacloprid,Fluopyram, Tetraniliprole,Flupyradifurone, Fipronil + Imidacloprid, Fipronil + Imidacloprid, Fosetyl-Aluminium,Propineb etc</t>
  </si>
  <si>
    <t>0300-8685111</t>
  </si>
  <si>
    <t>Quetta (4)
Killa Saif Ullah (1)
Harnai (1)
Ziarat (1)
Zhob (1)</t>
  </si>
  <si>
    <t>Aziz Ahmed</t>
  </si>
  <si>
    <t>0332-7865829</t>
  </si>
  <si>
    <t>Asad Ullah</t>
  </si>
  <si>
    <t>0312-3708468</t>
  </si>
  <si>
    <t>31202-1761977-3</t>
  </si>
  <si>
    <t>Abamectin 2%, Azoxystrobin 20%, Azoxystrobin 200, Chloryphrfos 15% + Fipronil 3%, Emamectin 1%, Lufenuron 2%, Pendimethalin16%, Thiamethoxzm 30%, Abamectin 1.8%, Acephate 75%, Acetamiprid 20%, Aluminium Phosphide 56%, Bifenthrin 10%, Buprofezin 25%,  Carbofuran 3%, Carbofuran 3%, Carbofuran 3%, Chlorfernpyr 36%, Chlorpyrifos 40%,Clothianidin 20%, Diafenthiuron 50%, Emmamectin Benzoate 1.9%, Fenoxaprop-p-ethyl 10%, Imidacloprid 25% etc</t>
  </si>
  <si>
    <t>5962866/PP/DGAE Reg-1</t>
  </si>
  <si>
    <t>Quetta (5)
Pishin (2(</t>
  </si>
  <si>
    <t>Ameer Ullah</t>
  </si>
  <si>
    <t>Sana Ullah</t>
  </si>
  <si>
    <t>Acetamiprid 20%, Abamectin 1.8%, Bromoxynil + Mcpa 40%, Buprofezin 2.5, Carbofuron 3%, Chlorpyrifos + Profenofos, Cypermethrin 10%, Deltamethrin + Triazophos 36%, Deltamethrin 2.5%, Difnoconazole 2.5%, Fentinacetate 45%, Halosulfuron-Methly 75%, Imidacloprid 25%, Lambda Cyhalothrin 2.5%, Limantian 16%,Lufenuron 5%, Matrine 0.6%, Monomehypo 5%, Penconazole 10%, Tiphos 45%, Sulfosulfuron 75%</t>
  </si>
  <si>
    <t>Cropli</t>
  </si>
  <si>
    <t>41-C, Industrial Estate, Multan Cantt. Sher Shah Town</t>
  </si>
  <si>
    <t>DPP/004/2024</t>
  </si>
  <si>
    <t>cropli@protonmail.com</t>
  </si>
  <si>
    <t>Fazal Ilahi Khan Niazi</t>
  </si>
  <si>
    <t>36103-8768436-3</t>
  </si>
  <si>
    <t xml:space="preserve">Abdul Rasool </t>
  </si>
  <si>
    <t>0335-7200340</t>
  </si>
  <si>
    <t>Abdul Raheem</t>
  </si>
  <si>
    <t>0308-8397321</t>
  </si>
  <si>
    <t>0300-4665524</t>
  </si>
  <si>
    <t>Quetta (1)
Sanjavi (1)
Khuzdar (1)</t>
  </si>
  <si>
    <t>Corpli</t>
  </si>
  <si>
    <t xml:space="preserve">Chlorpyrifos 40%, Mesosulfuron-methyl 0.9%, Dimethoate 40%, Imidacloprid 25%, Profenofos 50%, Emamectin Benzoate 1.9%, Diafenthruron 50%, Abamectin 1.8%, Cypermethrin 4%, Bifenthrin 10%, Acetamiprid20%, Pyraclostrobin 63%, </t>
  </si>
  <si>
    <t>3607169-2</t>
  </si>
  <si>
    <t>Killa Abdullah (1)
Pishin (3)
Quetta (1)
Dera Murad Jamli (2)
Dera Allah Yar (1)
Khuzdar (3)</t>
  </si>
  <si>
    <t>Altaf Qabir</t>
  </si>
  <si>
    <t>0307-5556521</t>
  </si>
  <si>
    <t>Imdad Ali</t>
  </si>
  <si>
    <t>0307-5551853</t>
  </si>
  <si>
    <t>Ijaz Muhammad Khan</t>
  </si>
  <si>
    <t>35201-7965356-7</t>
  </si>
  <si>
    <t>Flonicamid 4%, Pymetrozin 40% + Dinotefuron 20%, Emamectin Benzoate, Abamectin 1.8% + Imidacloprid 3.2%, Lambda 5.5% + Chlorantraniliprole 11%, Imidacloprid, Lambda - Cyhalothrin, Imidacloprid, Clothianidin 25% + Metalaxyl 0.3%, Chlorpyrifos, Deltamethrin 1% + Dinotefuran 10%, Bifenthrin, Pyriproxyfen, Profenofos 50% + Cypermethrin 5%, Buprofezin, Lufenuron, Fipronil, Chlorantraniliprole 4% + Emamectin, Emamectin Benzoate, Emamectin Benzoate 1%, Dinotefuran 7%</t>
  </si>
  <si>
    <t>MR/0048/Registration/PP/DGAE Reg-1</t>
  </si>
  <si>
    <r>
      <t>off</t>
    </r>
    <r>
      <rPr>
        <i/>
        <sz val="10"/>
        <color theme="1"/>
        <rFont val="Calibri"/>
        <family val="2"/>
        <scheme val="minor"/>
      </rPr>
      <t>ice # 2 Plot # 40 -1 Phase -1 Industrial Estate, Multan</t>
    </r>
  </si>
  <si>
    <t>Farooq Ahmed</t>
  </si>
  <si>
    <t>0336-4771325</t>
  </si>
  <si>
    <t>Amir Mohammad</t>
  </si>
  <si>
    <t>Quetta(2)  Loralai(2)</t>
  </si>
  <si>
    <t>Diafenthuron 50%, sc, Emmamectin Benzoate 5%, Leufenuron5%, Dinotifuron 5%, Lambda-Cyhalothrin 10%, Imidacloprid 10%, Clothainidin 20%, Chlorfenapyre 360, Pyriproxyfen 10.8%, Chlorpyrifos 40%</t>
  </si>
  <si>
    <t>7th &amp; 8th floor, the harbar Front building, HC-3 Marine Drive, Block 4 Clifton, Karachi 75600, pakistan</t>
  </si>
  <si>
    <t>3378860-0</t>
  </si>
  <si>
    <t>Shabbir Ahmed</t>
  </si>
  <si>
    <t>0302-3176731</t>
  </si>
  <si>
    <t>AttaUllah</t>
  </si>
  <si>
    <t>0333-7999902</t>
  </si>
  <si>
    <t>Sibbi (1), Sohbat pur(2)Dera Allahyar(3) UstaMuhammad(3) Dera Murad Jammali(1)</t>
  </si>
  <si>
    <t>Mr. Nadir salar Qureshi</t>
  </si>
  <si>
    <t>702352-100181-1</t>
  </si>
  <si>
    <t>2001/0670/PP/DGAE/Reg-1</t>
  </si>
  <si>
    <t>081-2820045, 2835177</t>
  </si>
  <si>
    <t>1166858-0</t>
  </si>
  <si>
    <t>Zulfiqar Haider Changezi</t>
  </si>
  <si>
    <t>nil</t>
  </si>
  <si>
    <t xml:space="preserve">Acephate 75%, Acetamiprid 20%, Afidopyropen 5%, Azoxystrobin+Difenocanozole 32.5%, Bifenthrin 25%, Bispyribac Sodium+ Bensulfuron Methyl 30%, Buprofezin25%, Butachor 60%, Carbofuran3%, Cartap Hydrochloride4%, Chlorpyrifos 40%, Chlodinafop propargyl15%, Copper Oxychloride 50%, Cymoxanil + Mancozeb 72%, Difeoconazole 25%, Dimethomorph + Mancozeb 50%,Dinotefuran+Pymetrozine 60%, Emamectin Benzoate + Lufenuron3%, Fipronil 5%, Flucabozone-Na+Clodinafop 13%, Fluroxypyr+MCPA+Florasulam 50%, Fosetyl Aluminium 80%, Imidacloprid 20%, Lambda cyhalothrin 2.5%, Mesotrione+Atrazine 88.8%, monomehypo 5%, Oxyfluorfen+Metolachlor+ Pendimethalin 50%,Pyraclostrobin + Dime thomorph 18.7%, Pyroxsulam+Florasulam 9.1%,    </t>
  </si>
  <si>
    <t>Quetta (7)
Kila Saifullah (3)
Lorlai (2)
Zhob (1)
Sanjavi (1)</t>
  </si>
  <si>
    <t>Muhammad Idress</t>
  </si>
  <si>
    <t>11202-0368988-7</t>
  </si>
  <si>
    <t>Ajmal Khan</t>
  </si>
  <si>
    <t>0333-8820088</t>
  </si>
  <si>
    <t>Siraj Ud Din</t>
  </si>
  <si>
    <t>0334-5375473</t>
  </si>
  <si>
    <t>Sulphur 80 % WG, Chloropyrifos 40% EC, Imidacloprid 25%WP, Thiamethoxam 25%WDG, Fipronil 4G, Pendamethalin 33% EC, Difenoconazole 20%EC, Abamectin 1.8%EC, Clodinafop-Propargyl 15%WP, Emamectin Benzoate 1.9% SC, Leofenoron+ Emamectin, Thamethoxam + Lambda, Abamectin + Spirodiclofen, Mesotrione + Atrazine, Flonicamd + Thiamethoxam, Pyraclostrobin + Iprodione, Pyraclostrobin + Dimethomrph, Florasulam + Mesosulfuron, Tribenuron Methyl, Clothianidin + Metalaxyl</t>
  </si>
  <si>
    <t>0301-8699646</t>
  </si>
  <si>
    <t>Ayesha.aslam@fmc.com</t>
  </si>
  <si>
    <t xml:space="preserve">Quetta (8)
Khuzdar (9)
Killa Saifullah (3)
Lorlai (3)
Pishin (2)
Sibi (1)
Sanjavi (1)
Lasbela (1)
</t>
  </si>
  <si>
    <t>Asha Aslam</t>
  </si>
  <si>
    <t>Khalil Rehman</t>
  </si>
  <si>
    <t>0332-2569485</t>
  </si>
  <si>
    <t>Acetamiprid, Pyricproxyfen, Sulfoxaflor, Pyroxsulam, Iprodione, Myclobutanil, Quizilafop P ethyl 15%, Carbosulfan, Cypermethrin, Dimethomroph + Mancozeb, Alpha-Cypermethrin, Pyraclostrobin 5%, Fenpropathrin, Chlorantranilprole, Copper Hydroxide, Sulphur, Bifenthrin + Abamectin, Chlorothalonil 33.3%, fLUROXPYR 10%, Bifenthrin Technical, Acephate 75% Etc</t>
  </si>
  <si>
    <t>Quetta (1)
Pishin (1)
Sibi (1)
Nushki (1)
Mastung (1)
Sanjavi (1)
Lasbela (1)
Khuzdar (1)</t>
  </si>
  <si>
    <t>Muhammad Fahad</t>
  </si>
  <si>
    <t>36602-0914708-7</t>
  </si>
  <si>
    <t>Atif Ahmed</t>
  </si>
  <si>
    <t xml:space="preserve">Ghulam Muhmmad </t>
  </si>
  <si>
    <t>Difenosanasole, Difenthrin, Cartap Hydrochloride, Chlorfenaphyr, Dlafenthiuron, Difenoconazole, Fosetyl Aluauniuai, Lamuda Cyhalothrin, Lufenuron etc</t>
  </si>
  <si>
    <t>06-MR/PP/DGAE/Reg-1</t>
  </si>
  <si>
    <t>forwardagro22@gmail.com</t>
  </si>
  <si>
    <t>M-Naeem</t>
  </si>
  <si>
    <t>Nisar Ahmed</t>
  </si>
  <si>
    <t>0300-0643988</t>
  </si>
  <si>
    <t>0331-1361427</t>
  </si>
  <si>
    <t>Sulphur 80 % WG, Chloropyrifos 40% EC, Imidacloprid 25%WP, Thiamethoxam 25%WDG, Fipronil 4G, Pendamethalin 33% EC, Difenoconazole 20%EC, Abamectin 1.8%EC, Clodinafop-Propargyl 15%WP, Emamectin Benzoate 1.9% SC, Leofenoron+ Emamectin, Thamethoxam + Lambda, Fipronil, Monomehypo, Dlafenthiuron etc</t>
  </si>
  <si>
    <t>2218609-3</t>
  </si>
  <si>
    <t>Saddam Hussain</t>
  </si>
  <si>
    <t>0336-3000151</t>
  </si>
  <si>
    <t>Safi Ullah</t>
  </si>
  <si>
    <t>0317-8893639</t>
  </si>
  <si>
    <t>Sadiq Saleem Qurashi</t>
  </si>
  <si>
    <t>38102-2250382-9</t>
  </si>
  <si>
    <t>Quetta (3)
Khuzdar (2)
Pishine (1)
Lorlai (1)
Sorab (1)</t>
  </si>
  <si>
    <t>Thiophenate Mthehyl, Azoystroben, Sulfur, Matalyxl, Difenconazole, Quizalofop, Fluroxypy, Acetorchlor, Clodinofop, Oxyfluorfen, Abamectin, Imidacloprid</t>
  </si>
  <si>
    <t>3278043-7</t>
  </si>
  <si>
    <t>Haleem Khan</t>
  </si>
  <si>
    <t>0320-0500187</t>
  </si>
  <si>
    <t>Fakhar Ul Islam</t>
  </si>
  <si>
    <t>0324-8007272</t>
  </si>
  <si>
    <t>Khuzdar (3)
Sanjavi (3)
Quetta (3)
Killa Saif Ullah (1)
Duki (1)
Zhob (1)</t>
  </si>
  <si>
    <t>Shaid Saleem Qurashi</t>
  </si>
  <si>
    <t>36502-7762613-5</t>
  </si>
  <si>
    <t>Thiophenate Mtehyl, Azoystroben + Difenaconzolle, Sulfur, Matalyxl + Mancozeb, Difenconazole + Propiconazole, Quizalofop-P-ETHYL, Fluroxypyr + MCPA, Acetochlor, Clodinnofop, Oxyfluorfen, Abamectin, Imidacloprid</t>
  </si>
  <si>
    <t>A071126/Registration/PP/DGAE/Reg-1</t>
  </si>
  <si>
    <t>Ali Ahmed</t>
  </si>
  <si>
    <t>0345-1576388</t>
  </si>
  <si>
    <t>Yasir Shakoor</t>
  </si>
  <si>
    <t>Acetamiprid, Acetamiprid, Acetochlor, Aluminium Phosphide,Cartap Hydrochloride, Chlorpyrifos, Emamectin Benzoate, Fipronil, Imiacloprid, Lambda Cyhalothrin, Monomyhypo, Pendimethalin, Pyriproxyfen</t>
  </si>
  <si>
    <t>Imran Khan</t>
  </si>
  <si>
    <t>0334-5342837</t>
  </si>
  <si>
    <t>M Umar</t>
  </si>
  <si>
    <t>0300-3150049</t>
  </si>
  <si>
    <t>Khuzdar (5)
Sohbatpur (1)
Dera Allah Yar (1)
Usta Muhammad (2)
DM Jamali (8)</t>
  </si>
  <si>
    <t>Akbar Raheem Jaffar</t>
  </si>
  <si>
    <t>52301-8476512-7</t>
  </si>
  <si>
    <t>Acetachlor, Buprofezin, Bromo + MCPA, Vifenthrin, Cartap Hydrochloride, Chlorpyrifos, Dimethoate, Fenpropathrin, Metalaxy, Monomehypo, Lambda-Cyhalothrinn, Deltamethrin</t>
  </si>
  <si>
    <t>Quetta (2)
Sanjavi (2)
Lorlai (2)
Khuzdar (2)
Pishin (1)</t>
  </si>
  <si>
    <t>0331-8018414</t>
  </si>
  <si>
    <t>Baran Khan</t>
  </si>
  <si>
    <t>0313-8150677</t>
  </si>
  <si>
    <t>Muhammad Irfan Ali</t>
  </si>
  <si>
    <t>36302-1618570-5</t>
  </si>
  <si>
    <t>Lambda 2.5%, Bifenthreen 10%, Chlorpyrifos 40%, Cartap 4%, Carbofuran 3%, Triazophos 40%, Imeda 25%, Emamaction 1.9%, Properjite 57%, Cypernethrine + Profenophos 44%, Abamection 1.8%, Pearaquat 20%, Glyphosit 48%, Gazonar 15%, Pendimethline 33%, Pendimethline,  Tri Ultra 25%, Sulphar 80%, Thayophanate</t>
  </si>
  <si>
    <t>KS.341, Qalandar Abad Goth, Kamran Chowrangi, Mosamiyat Gulistan-e-Johar Karachi Pakistan</t>
  </si>
  <si>
    <t>021-32686473</t>
  </si>
  <si>
    <t>0333-7918835</t>
  </si>
  <si>
    <t>0234483/Registration/PP/DGAE-Reg-1</t>
  </si>
  <si>
    <t>A679564</t>
  </si>
  <si>
    <t>msher7406@gmail.com</t>
  </si>
  <si>
    <t>Sher Muhammad Dummar</t>
  </si>
  <si>
    <t>55402-9790035-7</t>
  </si>
  <si>
    <t>Muhammad Naseem</t>
  </si>
  <si>
    <t>0331-8064181</t>
  </si>
  <si>
    <t>Riaz Ahmed</t>
  </si>
  <si>
    <t>0336-3558054</t>
  </si>
  <si>
    <t>Sanjavi (1)
Duki (1)
Lorlai (1)
Quetta (1)
Harnai (1)</t>
  </si>
  <si>
    <t xml:space="preserve">Difenoconazole, Chlorpyrifos, Lambda -Cyhalothrin, Emamectin Benzoate, </t>
  </si>
  <si>
    <t>92-64-111-580-580</t>
  </si>
  <si>
    <t>1007/PP/DGAE Renewal-2</t>
  </si>
  <si>
    <t>Abdul Salam</t>
  </si>
  <si>
    <t>0343-3520648</t>
  </si>
  <si>
    <t>Abdul Zakir</t>
  </si>
  <si>
    <t>0336-8483763</t>
  </si>
  <si>
    <t>DM Jamali (2)
Usta Muhammad (1)
Khuzdar (1)</t>
  </si>
  <si>
    <t>Dinotefuran 20%, Quizaloforp-P-Ethyl + Rimsulfuron, Nicosulfuron, Mesosulfuron Methyl + Iodosulfuron Methyl, Lufenuron, Clothianidin, Propiconazol, Imidacloprid, Metalaxyl + Mancozeb, Pendimethalin</t>
  </si>
  <si>
    <t xml:space="preserve">2015-A, AWT Housing Society Phase II 13 KN Raiwind Road Lahore Pakistan </t>
  </si>
  <si>
    <t>092 42 35975831-32</t>
  </si>
  <si>
    <t>info@trustgroup.pk</t>
  </si>
  <si>
    <t>0623/PP/DGAE Reg-1</t>
  </si>
  <si>
    <t>Mubashir Yaqoob</t>
  </si>
  <si>
    <t>0326-8039580</t>
  </si>
  <si>
    <t>Najeeb Ullah</t>
  </si>
  <si>
    <t>0326-8039510</t>
  </si>
  <si>
    <t>Mian Adil Hussain</t>
  </si>
  <si>
    <t>36302-8192246-9</t>
  </si>
  <si>
    <t xml:space="preserve">Azoxystrobin 20% + Tebuconazole 30%, Azoxyshtrobin 20% + Tebuconazole 30%, Thiophenate Methyl, Carbouron, Monomehypo, Acetochlor 25%, Atrazine 40%, Butachlor 60%,Fomeshafen, Glyphosate, Pendimethalin, Quizalofop, Aluminum Phosphide Tablets, Aluminum Phosphide Tablets, Bifenthrin, Chlorantraniliprole 10%, </t>
  </si>
  <si>
    <t>8K.M.Raiwind Road, Lahore Pakistan</t>
  </si>
  <si>
    <t>info@guardrise.com</t>
  </si>
  <si>
    <t>042-38104449</t>
  </si>
  <si>
    <t>DPP/009/2024</t>
  </si>
  <si>
    <t>Guard Agriculture Research &amp; Services Pvt</t>
  </si>
  <si>
    <t>Iftikhar Ali Malik</t>
  </si>
  <si>
    <t>35202-2293210-3</t>
  </si>
  <si>
    <t>Sarfarz Ali</t>
  </si>
  <si>
    <t>0333-3162635</t>
  </si>
  <si>
    <t>Abdullah</t>
  </si>
  <si>
    <t>0317-3553442</t>
  </si>
  <si>
    <t>Dm Jamli (1)
D Allah Yar (1)</t>
  </si>
  <si>
    <t>Cartap Hy drochloride, Monomehypo, Clothianidhin + Chlorentraniliprole, Sulphur 80%</t>
  </si>
  <si>
    <t>24-10-2027</t>
  </si>
  <si>
    <t>0225051/PP/DGAE Reg-1</t>
  </si>
  <si>
    <t xml:space="preserve">Abamectin 1.8%, Acetamiprud 20%, Alpha Cypermethrin 10%, Azoxystrobin 20%, Bifenthrin 10%, Chlorpyrifose 48%, Chlorpyrifose 40%, Chlorpyrifose 36%, Chlorpyrifose 10%, Cypermethrin + Profenofose 44%, Cartap, Carbofuram, Cymoxnil 8%, Chelated Iron ortho ortho, Diaclorvos 50%, </t>
  </si>
  <si>
    <t>3550150/Registration/PP/DGAE</t>
  </si>
  <si>
    <t>Quetta (1)
Pishin (1)
Nushki (1)
Sibi (1)
Mastung (1)
Sanjavi(1)
Lasbela (1)
Khuzdar (1)</t>
  </si>
  <si>
    <t>31201-0331693-9</t>
  </si>
  <si>
    <t>Imidachloprid 25%, Imidachloprid 20%, Acetamiprid 20%, Acetamiprid 20%, Ememectin 1.9%, Leufenoran 5%, chlorfenapyre 36%, pyreproxefen 10.8%, Triazofos 40%, Buprofezin 25%, Bifenthrin 10%, Labda Cyhalothrin 2.5%,</t>
  </si>
  <si>
    <t>7216974/PP/DGAE Reg-1</t>
  </si>
  <si>
    <t>Quetta (1)
Sanjavi (2)
Loralai (2)</t>
  </si>
  <si>
    <t>Labmda 2.5%, Bifenthreen 10%, Chlopyrifos 40%, Cartap 4%, Carbofuran 3%, Triazophos 40%, Imeda 25%, Emamaction 1.9%, Properjite 57%, Cypernethrine + Profenophos 44%, Abamection 1.8%, Abamection 1.8%, Pearaquat 20%, Glyphosit 48%</t>
  </si>
  <si>
    <t>L#7, House #36 Classic Villas Multan</t>
  </si>
  <si>
    <t>DPP/RP/190/2016</t>
  </si>
  <si>
    <t xml:space="preserve">Near Khawaja Pump New Adda Loralai </t>
  </si>
  <si>
    <t>6678047-2</t>
  </si>
  <si>
    <t>iplantcare@gmail.com</t>
  </si>
  <si>
    <t>0302-0620622</t>
  </si>
  <si>
    <t>Amjad Ali</t>
  </si>
  <si>
    <t>0333-9788665</t>
  </si>
  <si>
    <t>Nitenpyram 50%, Bifenthrin 10%, Emamectin Benzoate 1.9%, Leufenuron 5%, Cholorpyrifous 40%, Lambda Cyhalothrin 10%, Fipronil 5%, Imidacloprid 25%, Clothianidin 25%, Methidathion 40%, Chlorfenpyre 36%, Pyriproxyfin 10.8%, Flonicamid 50%, Buprofezin 25%, Diafenthiuron 50%, Acetamiprid 20%, Abamectin 1.8%, Diafenthiuron 80%</t>
  </si>
  <si>
    <t>32303-0751392-5</t>
  </si>
  <si>
    <t>Loralai (8)
Duki (1)
Harnai (1)</t>
  </si>
  <si>
    <t>661600/PP/DGAE/Reg-1</t>
  </si>
  <si>
    <t>6616600-7</t>
  </si>
  <si>
    <t>Khuzdar (3)
Quetta (3)
Loralai (1)</t>
  </si>
  <si>
    <t xml:space="preserve">M Saqib </t>
  </si>
  <si>
    <t>0334-7353758</t>
  </si>
  <si>
    <t>Nabi Bakhsh</t>
  </si>
  <si>
    <t xml:space="preserve">Sulphur 80%, Azoxystrobin + Tebuconazole 50%, Chlorpyrifos 40%, Acetamiprid 20%, Lambda - Cyhalothrin 10%, Lufenuron 5%, Mesosulfuron Methyl, Florasulam, Mesotrione, Metribuzin 70%, Glyphosate 48%, Imidacloprid + Difenoconazole 36%, Glyphosate 48%, Flonicamiod 50%, Cartap Hydrochloride 4%, Monomehypo 5%, Qauizalofop 15%, Qauizalofop 15%, </t>
  </si>
  <si>
    <t>0169951/PP/DGAE Reg-1</t>
  </si>
  <si>
    <t>Habib Ullah</t>
  </si>
  <si>
    <t>M Saleem</t>
  </si>
  <si>
    <t xml:space="preserve">Abamectin + Niteminpyrans 30%, Pendimethalin 33%, Sulfosulfuron 75%, Lufenuron 5%, Buporofezin 25%, Diafenthuron, Emamectin Benzoate + Chlorantrailprole 11.6%, Triazophos 40%, Imida 20%, Imida 25%, Abamectin 1.8%, Abamectin 1.8%, Emamectin 5%, Chlorofenapyr 36%, Chloroyrifos 40%, </t>
  </si>
  <si>
    <t>Naseer Nawaz</t>
  </si>
  <si>
    <t>61101-1755175-9</t>
  </si>
  <si>
    <t>Khuzdar (1)
Naseerabad (1)
Quetta (1)</t>
  </si>
  <si>
    <t>Aluminium Phosphide, Chlorfenapyr, Fipronil, Fipronil, Lufenuron, Monomehypo, Triazophos, Butachlor, Mesotrione, Cymoxanil, Pendimethlin, Pyriproxyfen, Lambda, Imidacloprid, Emamectin Benzoate, Chlorpyrifos, Cartap, Bifenthrin, Acephate, Acephate, Buprofezin</t>
  </si>
  <si>
    <t>Muhammad Imran</t>
  </si>
  <si>
    <t>0331-8016737</t>
  </si>
  <si>
    <t>Muhammad Rizwan</t>
  </si>
  <si>
    <t>0332-3534609</t>
  </si>
  <si>
    <t>Registration#DPP/002/2024 (R-6)</t>
  </si>
  <si>
    <t>28-09-2026</t>
  </si>
  <si>
    <t>Khalil Ur Rehman</t>
  </si>
  <si>
    <t>Israr Khan</t>
  </si>
  <si>
    <t>0346-8280981</t>
  </si>
  <si>
    <t>Shahabuddin</t>
  </si>
  <si>
    <t>0346-8280985</t>
  </si>
  <si>
    <t>Khuzdar (4)
Quetta (1)
Panjgor (1)</t>
  </si>
  <si>
    <t>Pyriproxyfen 10.8%, Chlorpyrifos 40%, Mesosulfuron, Dimethoate 40%, Buprofezin 25%, Chlothianidin 20%, Imidacloprid 25%, Thiophanate methyl 70%, Azoxystrobin 20%, Fipronial 5%, Abamectin 1.8%, Triazophos 40%</t>
  </si>
  <si>
    <t>0346-8280312</t>
  </si>
  <si>
    <t>823/Registration/PP/DGAE/Renewal-5</t>
  </si>
  <si>
    <t>0300-8638282</t>
  </si>
  <si>
    <t>0332-8227867</t>
  </si>
  <si>
    <t>Shakeel Ahmed</t>
  </si>
  <si>
    <t>0333-7978921</t>
  </si>
  <si>
    <t>Loralai (3)
Quetta (4)
Harnai (1)
Barkhan (3)
Sibi (1)
KillaSaifUllah (1)</t>
  </si>
  <si>
    <t>35,36</t>
  </si>
  <si>
    <t>240,000
50,000</t>
  </si>
  <si>
    <t xml:space="preserve">Myclobutnil, Haloxyfop -P - Methyl, Emamectin Benzoate, Metaldehyde, Clopyralid 30%, Abamectin 1.2%, Lufenuron 1%, Azoxystrobin 25%, Azoxystrobin 25%, </t>
  </si>
  <si>
    <t>100,00</t>
  </si>
  <si>
    <t>251/PP/DGAE R-2</t>
  </si>
  <si>
    <t>Azmat Ullah</t>
  </si>
  <si>
    <t>Atta Ullah</t>
  </si>
  <si>
    <t>0333-7959758</t>
  </si>
  <si>
    <t>Quetta (1)
Khuzdar (3)</t>
  </si>
  <si>
    <t>Abamectin 1.8%, Acetamiprid 20%, Chlorpyrifos 40%, Chlorpyrifos 40%, Cypermethrin 10%, Dimethoate 40%, Difenoconazole 25%, Emamectin Benzoate 1.9%, Fipronil 5%, Fosetyl 5%, Imidacloprid 70%, Imidacloprid 20%, Lambda-Cyhalothrin 2.5%, Lambda-Cyhalothrin 2.5</t>
  </si>
  <si>
    <t>Jawed Ahmed Shaikh</t>
  </si>
  <si>
    <t>45504-4443371-9</t>
  </si>
  <si>
    <t>2151450-0</t>
  </si>
  <si>
    <t>0336-8233063</t>
  </si>
  <si>
    <t>Muhammad Hasnain</t>
  </si>
  <si>
    <t>0332-2383686</t>
  </si>
  <si>
    <t>DM jamali (1)
Dera Allah Yar (1)
Barkhan (1)
Naseerabad (1)</t>
  </si>
  <si>
    <t>Bio-Higro, Kashish, Kiwi NPK, Kiwi, Kashish Tonic, Handgrip, Acetachore 50%, Potash 30%, Sulphure 80%, Full Clear 50%, Banvel, Dua, Emmamectin, Lambda Cyhalothrin, Handgrip</t>
  </si>
  <si>
    <t>Ehsan Ullah</t>
  </si>
  <si>
    <t>0300-3863022</t>
  </si>
  <si>
    <t>Hayat Ullah</t>
  </si>
  <si>
    <t>0312-8018779</t>
  </si>
  <si>
    <t>Harani (1)
Lorlai (1)
Pishin (3)
Quetta (2)</t>
  </si>
  <si>
    <t>Chloprpyrifos 40%, Oxyrich 40%, Triadimefon 25%, HuXiao 46%, Difenoconazole 25%, Recado 32%, Yang Sul 50%, Glyphosate 48%, Paraquat 20%, Lufenuron 5%, Lambda-Cyhalothrin 2.5%, Pendimethalin 33%</t>
  </si>
  <si>
    <t>Allah Dino</t>
  </si>
  <si>
    <t>43101-0169701-7</t>
  </si>
  <si>
    <t>0333-7505092</t>
  </si>
  <si>
    <t>Fida Ahmed</t>
  </si>
  <si>
    <t>0333-7995773</t>
  </si>
  <si>
    <t>Naeem Khan</t>
  </si>
  <si>
    <t>0334-9638403</t>
  </si>
  <si>
    <t>Usta Muhammad (3)
DM Jamli (3)
Hub (1)
Dera Allah Yar (1)</t>
  </si>
  <si>
    <t xml:space="preserve">Canalist, Ujalar Rang, Erger, Sada Bahar 10%, KWICK 5%, Black Parl, Humi Power, Pyriproxyfen10.8%, Bop </t>
  </si>
  <si>
    <t>0231833/PP/DGAE Reg-1</t>
  </si>
  <si>
    <t>A450828</t>
  </si>
  <si>
    <t>Sami Ullah</t>
  </si>
  <si>
    <t>Muhammad Khalil</t>
  </si>
  <si>
    <t>Sanjavi (2)
Quetta (1)
Loralai (2)</t>
  </si>
  <si>
    <t>Lambda 2.5%, Bifenthreen 10%, Chlorpyrifos 40%, Cartap 4%, Carbofuran 3%, Triazophos 40%, Imeda 25%, Emamaction 1.9%, Properjite 57%, Cypernethrine + Profenophos 44%, Abamection 1.8%, Pearaquat 20%, Glyphosit 48%, Gazonar 15%, Pendimethline 33%, Pendimeth</t>
  </si>
  <si>
    <t>Muaviya Agro Chemicals (Pvt) Ltd</t>
  </si>
  <si>
    <t>DPP/011/2024(R-2)</t>
  </si>
  <si>
    <t>Shop # 58, Karachi Road Hazar Ganji Quetta Pakistan</t>
  </si>
  <si>
    <t>0300-3830998</t>
  </si>
  <si>
    <t>Muhammad Ramzan</t>
  </si>
  <si>
    <t>54400-0445912-9</t>
  </si>
  <si>
    <t>Izhar Ullah</t>
  </si>
  <si>
    <t>0311-6287107</t>
  </si>
  <si>
    <t>Quetta (7)</t>
  </si>
  <si>
    <t xml:space="preserve">Abamectin 1.8%, Emametin Benzoate 1.9%, Chlorpyrifos 40%, Cyoermethrin + Profenofos 44%, Chlorpenpyr 36%, Acetamiprid 20%, Imidacloprid 25%, Lambda-Cyhalothrin 2.5%, </t>
  </si>
  <si>
    <t>0170604/PP/DGAE/Reg-1</t>
  </si>
  <si>
    <t xml:space="preserve">021-32006731, </t>
  </si>
  <si>
    <t>0315-2442896</t>
  </si>
  <si>
    <t>Abamectin + Nitemnpyrans 30%, Pendimethalin 33%, Sulfosulfuron 75%, Lufenuron 5%, Buprofezin 25%, Diafenthuron, Emamectin Benzoate, Triazophos 40%, Imida 20%, Imida 25%, Abamectin 1.8%,</t>
  </si>
  <si>
    <t>0132584/PP/2023/DGAE</t>
  </si>
  <si>
    <t>Mr. Tanveer Akram</t>
  </si>
  <si>
    <t>45402-5845225-5</t>
  </si>
  <si>
    <t>Saleh Muhmmad</t>
  </si>
  <si>
    <t>0333-8337990</t>
  </si>
  <si>
    <t>Farhatullah</t>
  </si>
  <si>
    <t>0333-8866985</t>
  </si>
  <si>
    <t>Quetta (5)
Lorlai (2)
Pishin (2)
Kharan (1)
Sanjavi (1)</t>
  </si>
  <si>
    <t>Cure 1.8%, Imidacloprid 25%, Minute 5%, Defender 40%, Cypermethrin 10%, Lambda 2.5%, Fana 36%, White Our 10.8%, Team 440EC, Pendimethalin, Sunflex 80%, Menco Power 72%, Thunder 70%, Jaan 24.7%</t>
  </si>
  <si>
    <t>Registartion/DPP/010/2024(R-2)</t>
  </si>
  <si>
    <t>0344-4911111</t>
  </si>
  <si>
    <t>info@adgegroup.com.pk</t>
  </si>
  <si>
    <t>15-04-2027</t>
  </si>
  <si>
    <t xml:space="preserve">Hamid Raza </t>
  </si>
  <si>
    <t>36302-9277003-3</t>
  </si>
  <si>
    <t>Qadeem Jan</t>
  </si>
  <si>
    <t>0344-8079954</t>
  </si>
  <si>
    <t>Anis Khan</t>
  </si>
  <si>
    <t>0332-7971941</t>
  </si>
  <si>
    <t>Dera Allah Yar (3)</t>
  </si>
  <si>
    <t>Gengwei, Buprofezin 25%, Metlaxyl+Mancozeb 72%, Cymoxanil+Mancozeb %</t>
  </si>
  <si>
    <t>Khuda Bakhsh</t>
  </si>
  <si>
    <t>0335-1312077</t>
  </si>
  <si>
    <t>Saleh Muhammad</t>
  </si>
  <si>
    <t>0333-3664679</t>
  </si>
  <si>
    <t>Que</t>
  </si>
  <si>
    <t xml:space="preserve">Dera Allah Yar (1)
Quetta (1)
Sibi (1)
DM Jamali (1)
Lasbela (1)
</t>
  </si>
  <si>
    <t>Abamectin 108%, Azoxystrobin + Difenoconozle 32.5%, Chlorfenapyr 36%, Cymoxanil + Mancozeb 72%, Chlorpyrifos 40%, Diafenthiuron 50%, Emamectin Benzoate + Indoxacarb 9%, Fipronil 5%, Lambda Cyhalothin 2.5%</t>
  </si>
  <si>
    <t>Asif Jooma</t>
  </si>
  <si>
    <t>1100/PP/DGAE/Renewal-1</t>
  </si>
  <si>
    <t>Muhammad Zakir</t>
  </si>
  <si>
    <t>0333-7913980</t>
  </si>
  <si>
    <t>Sohail Azeem</t>
  </si>
  <si>
    <t>0305-3968783</t>
  </si>
  <si>
    <t>Khuzdar (6)
Surab (1)
Wadh (1)
Hub (1)
Lasbela (2)
Pungoor (1)</t>
  </si>
  <si>
    <t>Bifenthrin 10 EC, Bifenthrin 10 EC, Chlorfenapyr 10 WDG, Chlorpyriphos 40 EC, Chlorpyriphos 40 EC, Cure 1.8 EC, Cypermethrin 10 EC, Deltamethrin 2.5 EC, Demand 75 SP, Dimokil 40 EC, Emamectin 1.9 EC</t>
  </si>
  <si>
    <t>374-MR/PP/DGAE/Reg-1</t>
  </si>
  <si>
    <t>Khuzdar (2)
Zhob (1) 
Killa Saif Ullah (1)</t>
  </si>
  <si>
    <t>Carbendazim, Caliber, Fipronil, Hdrnet, Proferid, Qiaoba, Field Overilord, FieldShield, Prize One</t>
  </si>
  <si>
    <t>0197990/PP/DGAE, Reg-1</t>
  </si>
  <si>
    <t>Asghar Ali</t>
  </si>
  <si>
    <t>Wazeer Ahmed</t>
  </si>
  <si>
    <t>Quetta (4)
Usta Muhammad (3)
Dera Allah Yar (2)
DM Jamali (1)</t>
  </si>
  <si>
    <t>Kanglixin 18.7 WG, Sulmefon 50% SC, Acelam 26% WDG, Qiafengshou 1.6% G, Hudun 30% SC, Comfly 26% FS, Sudao 11.6% SC, Sudao 11.6% SC, Jiejiejing 6% OD, Tri Ultra 25% OD, Specter 20% EC, Ful Clear 50% EC</t>
  </si>
  <si>
    <t>0186403/PP/DAGE Reg-1</t>
  </si>
  <si>
    <t>Zaid iqbal</t>
  </si>
  <si>
    <t>Atta ul Munim</t>
  </si>
  <si>
    <t>Propargite, Gazonner, Valor, Emamectin Benzoate, Penconazole, Pendlmethalin, Chlorpyrifos, Pyridaden, Chlorfenpyr, Imidacloprid,</t>
  </si>
  <si>
    <t>11101/Registration/PP/DGAE</t>
  </si>
  <si>
    <t>6705980-8</t>
  </si>
  <si>
    <t>Muhammad Arif</t>
  </si>
  <si>
    <t>Muhammad Ayaz</t>
  </si>
  <si>
    <t>Acephate 75% SP, Bifenthrin 10% EC, Buprofezin 25% WP, Chlorfenapyr 36% SC, Chlorpyrifos 40% EC, Fipronil 5% SC, Glyphosate 480 g/L SL 41%, Lambda Cyhelothrin 2.5% EC, Imidacloprid 25% WP, Paraquat 20% SL, Sega 10% SL, Lufenuron 5% EC, Triazophos 40% EC</t>
  </si>
  <si>
    <t>Registration#DPP/005/2024 (R-2)</t>
  </si>
  <si>
    <t>31-10-2027</t>
  </si>
  <si>
    <t>Haji Najeeb Ullah</t>
  </si>
  <si>
    <t>54400-4887367-9</t>
  </si>
  <si>
    <t>Azam Jan</t>
  </si>
  <si>
    <t>0347-2157930</t>
  </si>
  <si>
    <t>Jamal Ud Din</t>
  </si>
  <si>
    <t>0331-8965727</t>
  </si>
  <si>
    <t>Quetta (10)
Loralai (1)
Killa Abdullah (1)
Mangochar (1)</t>
  </si>
  <si>
    <t>Zamzama Omite 57% EC, Rizwan Omite 57% EC, Khalifa Omite 57% EC, Golden Chloro 40%, Zartash 2.5%, Cypermethrin 10% EC, Profenofos 50%, Cyper + Profenofos 440 EC, Emamectin Benzoat 1.9 %, Difenoconazol 25% EC, Amida Chloropid 20% SL</t>
  </si>
  <si>
    <t>0144448/PP/DGAE, Reg-1</t>
  </si>
  <si>
    <t>Ameer Muhammad</t>
  </si>
  <si>
    <t>Kalat (1)
Khuzdar (2)
Kharan (1)</t>
  </si>
  <si>
    <t>Lambda Cylothrin, Ema mectin, Pendimethalin, Metalixyl + Mancozeb, Humieacid + Potassium, Humiecacid + Potassium</t>
  </si>
  <si>
    <t>Registration#DPP/006/2024 (R-1)</t>
  </si>
  <si>
    <t>28-01-2027</t>
  </si>
  <si>
    <t>thair.yousaf@rudolf.pk</t>
  </si>
  <si>
    <t>021-32465675</t>
  </si>
  <si>
    <t>Mansoor Haider Jawaid</t>
  </si>
  <si>
    <t>0307-6666423</t>
  </si>
  <si>
    <t>37405-3895920-9</t>
  </si>
  <si>
    <t>Irfan Ali</t>
  </si>
  <si>
    <t>0345-3838303</t>
  </si>
  <si>
    <t>0333-7566115</t>
  </si>
  <si>
    <t>Usta Muhammad (3)
DM Jamali (2)</t>
  </si>
  <si>
    <t>7421036-5</t>
  </si>
  <si>
    <t>Hercules 16% SE, Dynamic 23% OD, Monomehypo 5% G, Firster 50% WDG, Flyee 39% SC, Pivot, Reliance, Yomar 40% SC, Calm 15% EC, Full Control 50% WP, Weed Free, Ming Tu 58% SE, Shell 33% EC, Yumei 24% OD, Wipeout 96% EC, Mantox 75% EC, Acetamiprid 20% SL</t>
  </si>
  <si>
    <t>3101824-6</t>
  </si>
  <si>
    <t>Sohail Ahmed</t>
  </si>
  <si>
    <t>Sakhi Dad</t>
  </si>
  <si>
    <t>0333-3095168</t>
  </si>
  <si>
    <t>Registration Number-586/PP/DGAE R-2</t>
  </si>
  <si>
    <t xml:space="preserve">Cureltr, Cure 500 ML, Megamose 250 ML, Megamose 500 ML, Megamose 500 ML, Chlorpyrifos LTR, Chlorpyrifos 250 ML, Kapamectin LTR, Kapamectin 400 ML, Kapamectin LTR, Kapadim LTR, </t>
  </si>
  <si>
    <t>Registration#DPP/012/2024(R-1)</t>
  </si>
  <si>
    <t>28-6-2027</t>
  </si>
  <si>
    <t>sanabil.agro.services@gmail.com</t>
  </si>
  <si>
    <t>081-2470734</t>
  </si>
  <si>
    <t>Shop#.119, New Vegetable Markeet, Hazar Ganji Quetta</t>
  </si>
  <si>
    <t>Hafiz Allah Noor</t>
  </si>
  <si>
    <t>54302-0781805-5</t>
  </si>
  <si>
    <t>Farhat Ullah</t>
  </si>
  <si>
    <t>Muhammad Ismail</t>
  </si>
  <si>
    <t>Flumax 60% EC, Metafin Super 28.6% WDG, Concept Plus 35% EC, Atrasan Super 43% WDG, Dominate Gold 88.8%, Velocity 5% WDG, Mover Plus 4.3%, Instar 5% EC, Pre-Act 96% EC, Farm Clean 30% WP</t>
  </si>
  <si>
    <t>Registration#-1008/PP/DGAE Renewal-6</t>
  </si>
  <si>
    <t>Muhammad Azam Cheema</t>
  </si>
  <si>
    <t>Muhammad Saqib</t>
  </si>
  <si>
    <t>0333-7990466</t>
  </si>
  <si>
    <t>35202-5821322-5</t>
  </si>
  <si>
    <t>Quetta (5)
Kalat (1)
Surab (1)
Khuzdar (2)
lasbela (1)
Harani (1)
Lorlai (1)
sanjavi (1)
Zariat (1(</t>
  </si>
  <si>
    <t>Carbofuran 3% G, Propargite 57% EC, Fenoxaprop-p-ethyl 10% EC, Abamectin 2% + Thiamethoxam 10% SC, Acephate 75% SP, Diafenthiuron 50% SC, Lambda Cyhalothrin 10% EC, Profenofos 50% EC, Cypermethrin 40 + Profenofos EC, Azoxystrobin 20% + Tebuconazote 30% EC</t>
  </si>
  <si>
    <t>Registration#-3534799-6/PP/DGAE Reg-1)</t>
  </si>
  <si>
    <t>3534799-6</t>
  </si>
  <si>
    <t>Awais Ahmed</t>
  </si>
  <si>
    <t>Pishin (1)</t>
  </si>
  <si>
    <t xml:space="preserve">Emamectin Benzoate 1.99 EC, Chlopyrifos 40EC, Sulphur 80 WG, Acetamiprd 20% SP, Imidacloprid 25% WP, Imidacloprid 25% WP, Cypermethrin + Profenofos 440 EC, Metalyxyl + Mancozeb 72% WP, Fe 6% </t>
  </si>
  <si>
    <t>/Registration#-884/PP/DGAE</t>
  </si>
  <si>
    <t>Muhammad Usman Ali</t>
  </si>
  <si>
    <t>32102-6455647-3</t>
  </si>
  <si>
    <t>4248610-6</t>
  </si>
  <si>
    <t>Muhammad Yaseen</t>
  </si>
  <si>
    <t>0331-5557113</t>
  </si>
  <si>
    <t>8
16</t>
  </si>
  <si>
    <t>60000
50,000</t>
  </si>
  <si>
    <t>Loralai (4)
Quetta (1)
Dera Allah Yar (1)
Pishin (1)
Barkhan (1)
Jafarabad (2)</t>
  </si>
  <si>
    <t>Acephate 75% SP, Acetamiprid 20%, eedo 20%SC, Bifenthrin 10%, Shango 20 EC, Buprofezin 25%, Chlorfenapyr 360 SC, Pyriproxyfen 10.8 EC, Imidacloprid 25 WP, Emamectin Benzoate 1.9 EC</t>
  </si>
  <si>
    <t>Registration#-4235444/PP/DGAE Reg-1</t>
  </si>
  <si>
    <t>Mr. Muhammad Abubakar Siddiqe</t>
  </si>
  <si>
    <t>Abdul Wasay</t>
  </si>
  <si>
    <t>0317-8009374</t>
  </si>
  <si>
    <t>Lorlai (4)
Dera Allah Yar (1)
Jaffarabad (2)
Rakhni (1)
Sanjavi (1)
Pihsin (1)</t>
  </si>
  <si>
    <t>Acephate 75% SP, Acetamiprid 20% SL, Ceedo 20% sc, Bifenthrin 10%, Shango 20ec, Buprofezin 25%, Chlorfenapyr 360 sc, Pyriporxyfen 25wp, Emamectin Benzoate 1.9ec, Lufenuron Sec, Valor , Chlorpyrifos 40ec</t>
  </si>
  <si>
    <t>Registration #835/PP/DGAE Renewal-2</t>
  </si>
  <si>
    <t>4009710-2</t>
  </si>
  <si>
    <t>0300-2000407</t>
  </si>
  <si>
    <t>Sarafraz Ahmed</t>
  </si>
  <si>
    <t>0336-8542631</t>
  </si>
  <si>
    <t>Abdul Aziz</t>
  </si>
  <si>
    <t>0333-6727268</t>
  </si>
  <si>
    <t>Khuzdar (7)</t>
  </si>
  <si>
    <t>Neomed 1.9% EC, Neomed Puls 3% SC, Python 10% EC, Fair 25% WP, Thunder 75% SP, Spring 20 SP, Spring Plus 20 SL, Hurricane 2.5 EC, Bovtone 40 EC</t>
  </si>
  <si>
    <t>Mirza Atif Baig</t>
  </si>
  <si>
    <t>42101-1326392-9</t>
  </si>
  <si>
    <t>Registraion No. 724/Registration/PP/DGAE Renewal -1</t>
  </si>
  <si>
    <t>Syed Tasawar Hussain</t>
  </si>
  <si>
    <t>Muhammad Shafeeq</t>
  </si>
  <si>
    <t>Jameel Ahmed</t>
  </si>
  <si>
    <t>0300-3974098</t>
  </si>
  <si>
    <t>Tanveer Hussain</t>
  </si>
  <si>
    <t>0300-3178877</t>
  </si>
  <si>
    <t>Dera Allah Yar (5)
Sohbat Pur (2)
Usta M (4)
DM jamali (4)</t>
  </si>
  <si>
    <t>Lufenuron 5% EC, Bensufuron Methyl + Bispyripac Sodium, Findus Xtra 60% WG, Azoxystrobin + Difenoconazole, Mesotrione + Atrazine, Dinotefuran + Spirotetramate, Fostyl Aluminium</t>
  </si>
  <si>
    <t>Registration No. 1064 /Registration/PP/DAGE Remewal - 1</t>
  </si>
  <si>
    <t>8.A.Industrial Estate, Multan Pakistan</t>
  </si>
  <si>
    <t>3837239-8</t>
  </si>
  <si>
    <t>0300-8670375</t>
  </si>
  <si>
    <t>DM Jamali (4)
Jaffarabad (1)
Sanjavi (1)
Usta M (1)</t>
  </si>
  <si>
    <t>Pyriproxyfen, Pendimethalin, Lufenuron, Clothianidin, Sulfosufuroj, Detamethrin, Cypermethrin + Profenofos, Lambda Cyhalothrin, Chlorothalonil</t>
  </si>
  <si>
    <t>No.974/Registration/PP/DGAE</t>
  </si>
  <si>
    <t>sawatagroqta@gmail.com</t>
  </si>
  <si>
    <t>1218299-7</t>
  </si>
  <si>
    <t>Abdul Qadir</t>
  </si>
  <si>
    <t>Muhammad Khan</t>
  </si>
  <si>
    <t>0336-6377840</t>
  </si>
  <si>
    <t>Quetta (15)
Harnai (2)
Pishin (4)</t>
  </si>
  <si>
    <t>Danadim Progress, Kangning, Nanok, Penimethalin, Pirate, Acetamiprid, Airone, Atrazine, Monctren</t>
  </si>
  <si>
    <t>Zeeshan Haseeb Baig</t>
  </si>
  <si>
    <t>35201-5999374-1</t>
  </si>
  <si>
    <t>0700899-6</t>
  </si>
  <si>
    <t>Registration No.1080/Registration/PP/DGAE/ R-6</t>
  </si>
  <si>
    <t>Waseem Ahmed</t>
  </si>
  <si>
    <t>0333-7995236</t>
  </si>
  <si>
    <t>Nadeem Ahmed</t>
  </si>
  <si>
    <t>0333-9994089</t>
  </si>
  <si>
    <t>Quetta (3)
Khuzdar (4)
Sibi (1)
Pishin (1)</t>
  </si>
  <si>
    <t>Fludioxonil + Metalaxyl-M, Fludioxonil, Thiamethoxam, Mefenoxam, Sedaxane + Fludioxonil, Acephate, Thiamethoxam, Lambda - Cyhalothrin etc</t>
  </si>
  <si>
    <t>Registration No.1041/Registration/PP/DGAE/ R-2</t>
  </si>
  <si>
    <t>2771551-5</t>
  </si>
  <si>
    <t>Abamectin 1.8 EC, Acephate 75 SP, Chlorpyrifos 40 EC, Chlorpyrifos 40 EC, Dimethoate 40 EC, Emamectin Benzoate 1.9 EC, Fipronil 5 SC, Fenbutatin Oxide 50% WP, Fentin Acetate 45%, Oxyfluorfe</t>
  </si>
  <si>
    <t>Registration No. 806/PP/DGAE</t>
  </si>
  <si>
    <t>0092-64-2463222</t>
  </si>
  <si>
    <t>3971455-1</t>
  </si>
  <si>
    <t>Saad Khan</t>
  </si>
  <si>
    <t>0332-8204118</t>
  </si>
  <si>
    <t>0336-8231364</t>
  </si>
  <si>
    <t>Loralai (4)
Quetta (1)
Pishin (1)
Barkhan (2)
Jaffarabad (1)</t>
  </si>
  <si>
    <t>www.topsunchemical.com</t>
  </si>
  <si>
    <t>0334-6067604</t>
  </si>
  <si>
    <t>Acephate 75% sp, Acetamprid 20% sl, Actron, Bifenthrin 10% EC, Shango 20 ec, Buprofezin 25% wp, Pyriproxyfen 10.8 ec, Imidacloprid 25 wp, Emamectin Benzoate 1.9 ec Valor 12sc, Chlorpyrifos 40 ec</t>
  </si>
  <si>
    <t>Registration No. 969/PP/DGAE Renewal-2</t>
  </si>
  <si>
    <t>www.totalcp.com.pk</t>
  </si>
  <si>
    <t>Plot# 24/1-B, Industrial State, phase.1, Multan Pakistan</t>
  </si>
  <si>
    <t>36302-8905497-5</t>
  </si>
  <si>
    <t>Abdul Hameed Khan</t>
  </si>
  <si>
    <t>Quetta (5)
Pishin (2)</t>
  </si>
  <si>
    <t xml:space="preserve">Acetamiprid 20% SP, Abamectin 1.8% EC, Bromoxynil MCPA 40% EC, Buprofezin 25% WP, Carbofuron 3% G, Chlorpyrifos + Cypermethrin 505 EC, Cypermethrin + Profenofos 440 EC, Cypermethrin 10% EC, Deltamethrin + Triazophos 36% EC, </t>
  </si>
  <si>
    <t>Registration No.2017-18/0336/PP/DGAE Reg-1</t>
  </si>
  <si>
    <t>021-35644082</t>
  </si>
  <si>
    <t>Muhammad Naeem</t>
  </si>
  <si>
    <t>Sohail Rizvi</t>
  </si>
  <si>
    <t>0301-3679991</t>
  </si>
  <si>
    <t>Alpha 75 SP, Carage 26 FS, Crop Care 20 SC, Flysol 80% SP, Ground 50SG, Image 20SL, Magic 36 SC, Navigator 40 EC</t>
  </si>
  <si>
    <t>Registration No.0195711/PP/DGAE/Reg -1</t>
  </si>
  <si>
    <t>Muhammad Wasil Khan</t>
  </si>
  <si>
    <t>0304-8710512</t>
  </si>
  <si>
    <t>Abdul Haseeb</t>
  </si>
  <si>
    <t>Chlorpyrifos 40%, Oxyrich 40% WP, Triadimefon 25%, Hu Xiao 46%, Difenoconazole 25%, Recado 32.5%, Yang Sui 50%, Glyphosate 48%, Paraquat 20%, Lufenuron 5%, Lambda-Cyhalothrin 2.5%, Pendimethalin 33%, Emamectin Benzoate 1.9%, Emamectin Benzoate 5%</t>
  </si>
  <si>
    <t>Registration No.0226961/PP/DGAE</t>
  </si>
  <si>
    <t>0333-3237944</t>
  </si>
  <si>
    <t>0333-7697665</t>
  </si>
  <si>
    <t>Zhob (1)
Zahri (1)
Killa Saif Ullah (1)</t>
  </si>
  <si>
    <t>Atrazine 38% SC, Bifenthrin 10% EC, Buprofezin 25% WP, Chlorfenapyr 36% SC, Clothianidin 20% SC, Diafenthiuron 50% SC, Dimethoate 40% EC, Emamectin 5% WDG, Fipronil 5% SC, Sulphur 80% WG, Jasper 10% SL, Thiophanate Methyl 70% WP</t>
  </si>
  <si>
    <t>Masood Ur Rehman</t>
  </si>
  <si>
    <t>masoodurrehman26@gmail.com</t>
  </si>
  <si>
    <t>Muhmmad Ashraf</t>
  </si>
  <si>
    <t>0344-4470524</t>
  </si>
  <si>
    <t>Dera Allah (1)
DM Jamali (1)
Usta Muhammad (1)</t>
  </si>
  <si>
    <t>Bromoxynil + MCPA, Buprofezin + Metolcarb, Buprofezin + Nitenpyram, Carbofuran, Cartap Hydrochloride, Chlorfenapyr, Chlorpyrifos, Clodinafop Propagyl, Clothianidn, Copper Oxychloride, Clothianidin,</t>
  </si>
  <si>
    <t>Zain Iftikhar</t>
  </si>
  <si>
    <t>35202-7930459-9</t>
  </si>
  <si>
    <t>Muhammad Naeem Khan</t>
  </si>
  <si>
    <t xml:space="preserve">Dera Allah Yar (1)
Rakhni (1)
DM jamali (1)
</t>
  </si>
  <si>
    <t>Acephate 75%, Acetochlor 50%, Acifluorfen 21.4%, Atrazine 38%, Bifenthrin + Acetamiprid 50%, Buprofezin 25%,  Buprofezin + Isoprocarb 25%, Cartap Hydrochloride 4%, Chlorfenapyr 36%</t>
  </si>
  <si>
    <t>altiga</t>
  </si>
  <si>
    <t>Field office/Ware house Bln</t>
  </si>
  <si>
    <t>Visited</t>
  </si>
  <si>
    <t>Guldusta Nursery, Airport Road Quetta</t>
  </si>
  <si>
    <t>Notice for office and 1 employee</t>
  </si>
  <si>
    <t>no office, no employee</t>
  </si>
  <si>
    <t>Barech Abad, Industrial Area, eastern By Pass Quetta</t>
  </si>
  <si>
    <t>well maintained office,ware house and staff as per law</t>
  </si>
  <si>
    <t>Swat Agro Traders, industial area Quetta. &amp; altaga</t>
  </si>
  <si>
    <t>wel mantained</t>
  </si>
  <si>
    <t>AMB, Lala Agro, Al-mehmood</t>
  </si>
  <si>
    <t xml:space="preserve">AMB &amp; al mehmood </t>
  </si>
  <si>
    <t xml:space="preserve">al mehmood AMB &amp; lala agro </t>
  </si>
  <si>
    <t>Near Chiltan Ghee Mill,  Industrial  Area, Sirki Road Quetta</t>
  </si>
  <si>
    <t>poor storage facilities</t>
  </si>
  <si>
    <t>staff available asked for Sirajudeen, Ajmal  also givey pay role</t>
  </si>
  <si>
    <t>ware house visited in sirki road industrial area very neat clean upto standard.</t>
  </si>
  <si>
    <t>visited  ware house  sirki Road  (Marwat)  better services (23/8/25</t>
  </si>
  <si>
    <t>Threee staff working  asked for slips</t>
  </si>
  <si>
    <t xml:space="preserve">ware house incharge Samii shawani visited in sirki road industrial need re arrange as per ware house </t>
  </si>
  <si>
    <t>three company seem three officers 1. Sadam RSM of biologicla 2. Fakhar Islam (Torzon agri services 3 Moem kha ZM of Orange pretecion  asked come up with slip</t>
  </si>
  <si>
    <t>Vsiited on 30/8/25, located in sirki road</t>
  </si>
  <si>
    <t xml:space="preserve">three officers nameli 1. Mir Hazar  2, jamil in Noshki 3. Noor Mohammad from Sinjawavi aske of pay slip </t>
  </si>
  <si>
    <t>aske to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</si>
</sst>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u/>
      <sz val="11"/>
      <color theme="10"/>
      <name val="Calibri"/>
      <family val="2"/>
      <scheme val="minor"/>
    </font>
    <font>
      <sz val="10"/>
      <color rgb="FF002060"/>
      <name val="Calibri"/>
      <family val="2"/>
      <scheme val="minor"/>
    </font>
    <font>
      <sz val="10"/>
      <color rgb="FFFF0000"/>
      <name val="Calibri"/>
      <family val="2"/>
      <scheme val="minor"/>
    </font>
    <font>
      <sz val="10"/>
      <color theme="1"/>
      <name val="Calibri"/>
      <family val="2"/>
      <scheme val="minor"/>
    </font>
    <font>
      <u/>
      <sz val="10"/>
      <color theme="10"/>
      <name val="Calibri"/>
      <family val="2"/>
      <scheme val="minor"/>
    </font>
    <font>
      <sz val="10"/>
      <color rgb="FF000000"/>
      <name val="Calibri"/>
      <family val="2"/>
      <scheme val="minor"/>
    </font>
    <font>
      <u/>
      <sz val="10"/>
      <color rgb="FF0563C1"/>
      <name val="Calibri"/>
      <family val="2"/>
      <scheme val="minor"/>
    </font>
    <font>
      <i/>
      <sz val="10"/>
      <color rgb="FF002060"/>
      <name val="Calibri"/>
      <family val="2"/>
      <scheme val="minor"/>
    </font>
    <font>
      <u/>
      <sz val="10"/>
      <color rgb="FFFF0000"/>
      <name val="Calibri"/>
      <family val="2"/>
      <scheme val="minor"/>
    </font>
    <font>
      <b/>
      <u/>
      <sz val="10"/>
      <color rgb="FF0563C1"/>
      <name val="Calibri"/>
      <family val="2"/>
      <scheme val="minor"/>
    </font>
    <font>
      <b/>
      <sz val="14"/>
      <color theme="1"/>
      <name val="Calibri"/>
      <family val="2"/>
      <scheme val="minor"/>
    </font>
    <font>
      <b/>
      <sz val="14"/>
      <color theme="0"/>
      <name val="Tahoma"/>
      <family val="2"/>
    </font>
    <font>
      <b/>
      <sz val="18"/>
      <color theme="0"/>
      <name val="Tahoma"/>
      <family val="2"/>
    </font>
    <font>
      <b/>
      <sz val="16"/>
      <color theme="1"/>
      <name val="Calibri"/>
      <family val="2"/>
      <scheme val="minor"/>
    </font>
    <font>
      <sz val="16"/>
      <color theme="1"/>
      <name val="Calibri"/>
      <family val="2"/>
      <scheme val="minor"/>
    </font>
    <font>
      <sz val="14"/>
      <color theme="1"/>
      <name val="Tahoma"/>
      <family val="2"/>
    </font>
    <font>
      <sz val="16"/>
      <color theme="1"/>
      <name val="Tahoma"/>
      <family val="2"/>
    </font>
    <font>
      <b/>
      <sz val="22"/>
      <color theme="0"/>
      <name val="Tahoma"/>
      <family val="2"/>
    </font>
    <font>
      <i/>
      <sz val="10"/>
      <color theme="1"/>
      <name val="Calibri"/>
      <family val="2"/>
      <scheme val="minor"/>
    </font>
    <font>
      <sz val="11"/>
      <color rgb="FF0061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2060"/>
        <bgColor indexed="64"/>
      </patternFill>
    </fill>
    <fill>
      <patternFill patternType="solid">
        <fgColor theme="9" tint="0.79998168889431442"/>
        <bgColor indexed="64"/>
      </patternFill>
    </fill>
    <fill>
      <patternFill patternType="solid">
        <fgColor theme="0"/>
        <bgColor indexed="64"/>
      </patternFill>
    </fill>
    <fill>
      <patternFill patternType="solid">
        <fgColor rgb="FFFF0000"/>
        <bgColor indexed="64"/>
      </patternFill>
    </fill>
    <fill>
      <patternFill patternType="solid">
        <fgColor rgb="FFC6EFCE"/>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0" fontId="20" fillId="8" borderId="0" applyNumberFormat="0" applyBorder="0" applyAlignment="0" applyProtection="0"/>
  </cellStyleXfs>
  <cellXfs count="92">
    <xf numFmtId="0" fontId="0" fillId="0" borderId="0" xfId="0"/>
    <xf numFmtId="0" fontId="0" fillId="0" borderId="0" xfId="0" applyAlignment="1">
      <alignment vertical="center"/>
    </xf>
    <xf numFmtId="0" fontId="4" fillId="0" borderId="0" xfId="0" applyFont="1"/>
    <xf numFmtId="0" fontId="2" fillId="0" borderId="1" xfId="0" applyFont="1" applyBorder="1" applyAlignment="1">
      <alignment horizontal="center" vertical="center"/>
    </xf>
    <xf numFmtId="0" fontId="2" fillId="0" borderId="1" xfId="0" applyFont="1" applyBorder="1" applyAlignment="1">
      <alignment horizontal="left" vertical="center"/>
    </xf>
    <xf numFmtId="0" fontId="4" fillId="0" borderId="1" xfId="0" applyFont="1" applyBorder="1" applyAlignment="1">
      <alignment horizontal="left" vertical="center"/>
    </xf>
    <xf numFmtId="0" fontId="11" fillId="2" borderId="1" xfId="0" applyFont="1" applyFill="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vertical="center" wrapText="1"/>
    </xf>
    <xf numFmtId="0" fontId="5" fillId="0" borderId="1" xfId="1" applyFont="1" applyFill="1" applyBorder="1" applyAlignment="1">
      <alignment horizontal="left" vertical="center" wrapText="1"/>
    </xf>
    <xf numFmtId="0" fontId="2" fillId="0" borderId="1" xfId="0" applyFont="1" applyBorder="1" applyAlignment="1">
      <alignment vertical="center" wrapText="1"/>
    </xf>
    <xf numFmtId="0" fontId="4" fillId="0" borderId="1" xfId="0" applyFont="1" applyBorder="1"/>
    <xf numFmtId="0" fontId="6" fillId="0" borderId="1" xfId="0" applyFont="1" applyBorder="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left" vertical="center"/>
    </xf>
    <xf numFmtId="0" fontId="6" fillId="0" borderId="1" xfId="0" applyFont="1" applyBorder="1" applyAlignment="1">
      <alignment horizontal="center" vertical="center" textRotation="90"/>
    </xf>
    <xf numFmtId="0" fontId="2" fillId="0" borderId="1" xfId="0" applyFont="1" applyBorder="1" applyAlignment="1">
      <alignment horizontal="left" vertical="center" wrapText="1"/>
    </xf>
    <xf numFmtId="0" fontId="5" fillId="0" borderId="1" xfId="1" applyFont="1" applyFill="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wrapText="1"/>
    </xf>
    <xf numFmtId="0" fontId="1" fillId="0" borderId="1" xfId="1" applyFill="1" applyBorder="1" applyAlignment="1">
      <alignment horizontal="left" vertical="center"/>
    </xf>
    <xf numFmtId="0" fontId="1" fillId="0" borderId="1" xfId="1" applyFill="1" applyBorder="1" applyAlignment="1">
      <alignment horizontal="left" vertical="center" wrapText="1"/>
    </xf>
    <xf numFmtId="1" fontId="3" fillId="0" borderId="1" xfId="0" applyNumberFormat="1" applyFont="1" applyBorder="1" applyAlignment="1">
      <alignment vertical="center" wrapText="1"/>
    </xf>
    <xf numFmtId="0" fontId="0" fillId="0" borderId="1" xfId="0" applyBorder="1"/>
    <xf numFmtId="0" fontId="0" fillId="0" borderId="0" xfId="0" applyAlignment="1">
      <alignment wrapText="1"/>
    </xf>
    <xf numFmtId="0" fontId="11" fillId="2" borderId="1" xfId="0" applyFont="1" applyFill="1" applyBorder="1" applyAlignment="1">
      <alignment horizontal="left" vertical="center"/>
    </xf>
    <xf numFmtId="0" fontId="11" fillId="2" borderId="1" xfId="0" applyFont="1" applyFill="1" applyBorder="1" applyAlignment="1">
      <alignment horizontal="left" vertical="center" wrapText="1"/>
    </xf>
    <xf numFmtId="1" fontId="2" fillId="0" borderId="1" xfId="0" applyNumberFormat="1"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1" fontId="6" fillId="0" borderId="1" xfId="0" applyNumberFormat="1" applyFont="1" applyBorder="1" applyAlignment="1">
      <alignment horizontal="left" vertical="center"/>
    </xf>
    <xf numFmtId="11" fontId="6" fillId="0" borderId="1" xfId="0" applyNumberFormat="1" applyFont="1" applyBorder="1" applyAlignment="1">
      <alignment horizontal="left" vertical="center"/>
    </xf>
    <xf numFmtId="3" fontId="4" fillId="0" borderId="1" xfId="0" applyNumberFormat="1" applyFont="1" applyBorder="1" applyAlignment="1">
      <alignment horizontal="left" vertical="center"/>
    </xf>
    <xf numFmtId="0" fontId="0" fillId="5" borderId="0" xfId="0" applyFill="1"/>
    <xf numFmtId="0" fontId="0" fillId="5" borderId="0" xfId="0" applyFill="1" applyAlignment="1">
      <alignment horizontal="left"/>
    </xf>
    <xf numFmtId="0" fontId="0" fillId="5" borderId="0" xfId="0" applyFill="1" applyAlignment="1">
      <alignment horizontal="center"/>
    </xf>
    <xf numFmtId="0" fontId="13" fillId="5" borderId="0" xfId="0" applyFont="1" applyFill="1" applyAlignment="1">
      <alignment horizontal="center" vertical="center"/>
    </xf>
    <xf numFmtId="0" fontId="13" fillId="5" borderId="8" xfId="0" applyFont="1" applyFill="1" applyBorder="1" applyAlignment="1">
      <alignment horizontal="center" vertical="center"/>
    </xf>
    <xf numFmtId="0" fontId="2" fillId="7" borderId="1" xfId="0" applyFont="1" applyFill="1" applyBorder="1" applyAlignment="1">
      <alignment horizontal="left" vertical="center"/>
    </xf>
    <xf numFmtId="0" fontId="2"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7" borderId="1" xfId="1" applyFont="1" applyFill="1" applyBorder="1" applyAlignment="1">
      <alignment horizontal="left" vertical="center" wrapText="1"/>
    </xf>
    <xf numFmtId="0" fontId="4" fillId="7" borderId="1" xfId="0" applyFont="1" applyFill="1" applyBorder="1" applyAlignment="1">
      <alignment horizontal="left" vertical="center"/>
    </xf>
    <xf numFmtId="0" fontId="4" fillId="7" borderId="0" xfId="0" applyFont="1" applyFill="1"/>
    <xf numFmtId="0" fontId="6" fillId="7" borderId="1" xfId="0" applyFont="1" applyFill="1" applyBorder="1" applyAlignment="1">
      <alignment horizontal="left" vertical="center"/>
    </xf>
    <xf numFmtId="0" fontId="4" fillId="0" borderId="1" xfId="0" applyFont="1" applyBorder="1" applyAlignment="1">
      <alignment horizontal="left" vertical="top" wrapText="1"/>
    </xf>
    <xf numFmtId="0" fontId="1" fillId="0" borderId="1" xfId="1" applyBorder="1" applyAlignment="1">
      <alignment horizontal="left" vertical="center"/>
    </xf>
    <xf numFmtId="0" fontId="4" fillId="0" borderId="1" xfId="0" applyFont="1" applyBorder="1" applyAlignment="1">
      <alignment vertical="top" wrapText="1"/>
    </xf>
    <xf numFmtId="0" fontId="1" fillId="0" borderId="1" xfId="1" applyBorder="1" applyAlignment="1">
      <alignment horizontal="left" vertical="center" wrapText="1"/>
    </xf>
    <xf numFmtId="14" fontId="4" fillId="0" borderId="1" xfId="0" applyNumberFormat="1" applyFont="1" applyBorder="1" applyAlignment="1">
      <alignment horizontal="left" vertical="center"/>
    </xf>
    <xf numFmtId="0" fontId="2" fillId="7" borderId="1" xfId="0" applyFont="1" applyFill="1" applyBorder="1" applyAlignment="1">
      <alignment vertical="center"/>
    </xf>
    <xf numFmtId="0" fontId="2" fillId="7" borderId="1" xfId="0" applyFont="1" applyFill="1" applyBorder="1" applyAlignment="1">
      <alignment vertical="center" wrapText="1"/>
    </xf>
    <xf numFmtId="0" fontId="2" fillId="7" borderId="1" xfId="0" applyFont="1" applyFill="1" applyBorder="1" applyAlignment="1">
      <alignment horizontal="center" vertical="center" wrapText="1"/>
    </xf>
    <xf numFmtId="0" fontId="4" fillId="7" borderId="1" xfId="0" applyFont="1" applyFill="1" applyBorder="1"/>
    <xf numFmtId="0" fontId="2" fillId="7" borderId="1" xfId="0" applyFont="1" applyFill="1" applyBorder="1" applyAlignment="1">
      <alignment horizontal="center" vertical="center"/>
    </xf>
    <xf numFmtId="3" fontId="4" fillId="0" borderId="1" xfId="0" applyNumberFormat="1" applyFont="1" applyBorder="1" applyAlignment="1">
      <alignment horizontal="left" vertical="center" wrapText="1"/>
    </xf>
    <xf numFmtId="0" fontId="6" fillId="0" borderId="1" xfId="0" applyFont="1" applyFill="1" applyBorder="1" applyAlignment="1">
      <alignment horizontal="left" vertical="center"/>
    </xf>
    <xf numFmtId="0" fontId="2" fillId="0" borderId="9" xfId="0" applyFont="1" applyFill="1" applyBorder="1" applyAlignment="1">
      <alignment horizontal="center" vertical="center"/>
    </xf>
    <xf numFmtId="14" fontId="4" fillId="0" borderId="0" xfId="0" applyNumberFormat="1" applyFont="1"/>
    <xf numFmtId="0" fontId="4" fillId="0" borderId="0" xfId="0" applyFont="1" applyAlignment="1">
      <alignment wrapText="1"/>
    </xf>
    <xf numFmtId="0" fontId="20" fillId="8" borderId="1" xfId="2" applyBorder="1" applyAlignment="1">
      <alignment horizontal="center" vertical="center"/>
    </xf>
    <xf numFmtId="0" fontId="20" fillId="8" borderId="1" xfId="2" applyBorder="1" applyAlignment="1">
      <alignment vertical="center"/>
    </xf>
    <xf numFmtId="0" fontId="20" fillId="8" borderId="1" xfId="2" applyBorder="1" applyAlignment="1">
      <alignment vertical="center" wrapText="1"/>
    </xf>
    <xf numFmtId="0" fontId="20" fillId="8" borderId="1" xfId="2" applyBorder="1"/>
    <xf numFmtId="0" fontId="3" fillId="0" borderId="1" xfId="0" applyFont="1" applyBorder="1" applyAlignment="1">
      <alignment horizontal="left" vertical="center"/>
    </xf>
    <xf numFmtId="0" fontId="14" fillId="6" borderId="1" xfId="0" applyFont="1" applyFill="1" applyBorder="1" applyAlignment="1">
      <alignment horizontal="center" vertical="center"/>
    </xf>
    <xf numFmtId="0" fontId="15" fillId="6" borderId="1" xfId="0" applyFont="1" applyFill="1" applyBorder="1" applyAlignment="1">
      <alignment horizontal="left" vertical="center"/>
    </xf>
    <xf numFmtId="0" fontId="13" fillId="4" borderId="0" xfId="0" applyFont="1" applyFill="1" applyAlignment="1">
      <alignment horizontal="center" vertical="center"/>
    </xf>
    <xf numFmtId="0" fontId="12" fillId="4" borderId="1" xfId="0" applyFont="1" applyFill="1" applyBorder="1" applyAlignment="1">
      <alignment horizontal="left" vertical="center"/>
    </xf>
    <xf numFmtId="0" fontId="13" fillId="4" borderId="8" xfId="0" applyFont="1" applyFill="1" applyBorder="1" applyAlignment="1">
      <alignment horizontal="center" vertical="center"/>
    </xf>
    <xf numFmtId="0" fontId="15" fillId="6" borderId="2" xfId="0" applyFont="1" applyFill="1" applyBorder="1" applyAlignment="1">
      <alignment horizontal="left" vertical="center"/>
    </xf>
    <xf numFmtId="0" fontId="15" fillId="6" borderId="3" xfId="0" applyFont="1" applyFill="1" applyBorder="1" applyAlignment="1">
      <alignment horizontal="left" vertical="center"/>
    </xf>
    <xf numFmtId="0" fontId="15" fillId="6" borderId="4" xfId="0" applyFont="1" applyFill="1" applyBorder="1" applyAlignment="1">
      <alignment horizontal="left" vertical="center"/>
    </xf>
    <xf numFmtId="0" fontId="15" fillId="6" borderId="5" xfId="0" applyFont="1" applyFill="1" applyBorder="1" applyAlignment="1">
      <alignment horizontal="left" vertical="center"/>
    </xf>
    <xf numFmtId="0" fontId="15" fillId="6" borderId="6" xfId="0" applyFont="1" applyFill="1" applyBorder="1" applyAlignment="1">
      <alignment horizontal="left" vertical="center"/>
    </xf>
    <xf numFmtId="0" fontId="15" fillId="6" borderId="7" xfId="0" applyFont="1" applyFill="1" applyBorder="1" applyAlignment="1">
      <alignment horizontal="left" vertical="center"/>
    </xf>
    <xf numFmtId="0" fontId="17" fillId="6" borderId="2" xfId="0" applyFont="1" applyFill="1" applyBorder="1" applyAlignment="1">
      <alignment horizontal="left" vertical="center"/>
    </xf>
    <xf numFmtId="0" fontId="17" fillId="6" borderId="3" xfId="0" applyFont="1" applyFill="1" applyBorder="1" applyAlignment="1">
      <alignment horizontal="left" vertical="center"/>
    </xf>
    <xf numFmtId="0" fontId="17" fillId="6" borderId="4" xfId="0" applyFont="1" applyFill="1" applyBorder="1" applyAlignment="1">
      <alignment horizontal="left" vertical="center"/>
    </xf>
    <xf numFmtId="0" fontId="17" fillId="6" borderId="5" xfId="0" applyFont="1" applyFill="1" applyBorder="1" applyAlignment="1">
      <alignment horizontal="left" vertical="center"/>
    </xf>
    <xf numFmtId="0" fontId="17" fillId="6" borderId="6" xfId="0" applyFont="1" applyFill="1" applyBorder="1" applyAlignment="1">
      <alignment horizontal="left" vertical="center"/>
    </xf>
    <xf numFmtId="0" fontId="17" fillId="6" borderId="7" xfId="0" applyFont="1" applyFill="1" applyBorder="1" applyAlignment="1">
      <alignment horizontal="left" vertical="center"/>
    </xf>
    <xf numFmtId="0" fontId="0" fillId="6" borderId="1" xfId="0" applyFill="1" applyBorder="1" applyAlignment="1">
      <alignment horizontal="center"/>
    </xf>
    <xf numFmtId="0" fontId="17" fillId="6" borderId="1" xfId="0" applyFont="1" applyFill="1" applyBorder="1" applyAlignment="1">
      <alignment horizontal="left" vertical="center"/>
    </xf>
    <xf numFmtId="0" fontId="18" fillId="3" borderId="1" xfId="0" applyFont="1" applyFill="1" applyBorder="1" applyAlignment="1">
      <alignment horizontal="center" vertical="center"/>
    </xf>
    <xf numFmtId="0" fontId="16" fillId="6" borderId="1" xfId="0" applyFont="1" applyFill="1" applyBorder="1" applyAlignment="1">
      <alignment horizontal="left" vertical="center" wrapText="1"/>
    </xf>
    <xf numFmtId="1" fontId="15" fillId="6" borderId="1" xfId="0" applyNumberFormat="1" applyFont="1" applyFill="1" applyBorder="1" applyAlignment="1">
      <alignment horizontal="left" vertical="center"/>
    </xf>
    <xf numFmtId="0" fontId="4" fillId="0" borderId="8" xfId="0" applyFont="1" applyBorder="1" applyAlignment="1">
      <alignment horizontal="center" wrapText="1"/>
    </xf>
  </cellXfs>
  <cellStyles count="3">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0</xdr:col>
      <xdr:colOff>3819</xdr:colOff>
      <xdr:row>0</xdr:row>
      <xdr:rowOff>7437</xdr:rowOff>
    </xdr:from>
    <xdr:ext cx="14297288" cy="959237"/>
    <xdr:sp macro="" textlink="">
      <xdr:nvSpPr>
        <xdr:cNvPr id="2" name="Rectangle 1">
          <a:extLst>
            <a:ext uri="{FF2B5EF4-FFF2-40B4-BE49-F238E27FC236}">
              <a16:creationId xmlns:a16="http://schemas.microsoft.com/office/drawing/2014/main" id="{90D43B4A-B570-8B07-0F19-B3B23E07B3B3}"/>
            </a:ext>
          </a:extLst>
        </xdr:cNvPr>
        <xdr:cNvSpPr/>
      </xdr:nvSpPr>
      <xdr:spPr>
        <a:xfrm>
          <a:off x="3819" y="7437"/>
          <a:ext cx="14297288" cy="959237"/>
        </a:xfrm>
        <a:prstGeom prst="rect">
          <a:avLst/>
        </a:prstGeom>
        <a:solidFill>
          <a:srgbClr val="00B050"/>
        </a:solidFill>
      </xdr:spPr>
      <xdr:txBody>
        <a:bodyPr wrap="square" lIns="91440" tIns="45720" rIns="91440" bIns="45720">
          <a:spAutoFit/>
        </a:bodyPr>
        <a:lstStyle/>
        <a:p>
          <a:pPr algn="ctr"/>
          <a:r>
            <a:rPr lang="en-US" sz="2800" b="1" cap="none" spc="0">
              <a:ln w="0"/>
              <a:solidFill>
                <a:schemeClr val="bg1"/>
              </a:solidFill>
              <a:effectLst>
                <a:outerShdw blurRad="38100" dist="19050" dir="2700000" algn="tl" rotWithShape="0">
                  <a:schemeClr val="dk1">
                    <a:alpha val="40000"/>
                  </a:schemeClr>
                </a:outerShdw>
              </a:effectLst>
              <a:latin typeface="Tahoma" panose="020B0604030504040204" pitchFamily="34" charset="0"/>
              <a:ea typeface="Tahoma" panose="020B0604030504040204" pitchFamily="34" charset="0"/>
              <a:cs typeface="Tahoma" panose="020B0604030504040204" pitchFamily="34" charset="0"/>
            </a:rPr>
            <a:t>DIRECTORATE OF PLANT PROTECTION SARIAB ROAD QUETTA</a:t>
          </a:r>
        </a:p>
        <a:p>
          <a:pPr algn="ctr"/>
          <a:r>
            <a:rPr lang="en-US" sz="2800" b="0" cap="none" spc="0">
              <a:ln w="0"/>
              <a:solidFill>
                <a:schemeClr val="bg1"/>
              </a:solidFill>
              <a:effectLst>
                <a:outerShdw blurRad="38100" dist="19050" dir="2700000" algn="tl" rotWithShape="0">
                  <a:schemeClr val="dk1">
                    <a:alpha val="40000"/>
                  </a:schemeClr>
                </a:outerShdw>
              </a:effectLst>
              <a:latin typeface="Tahoma" panose="020B0604030504040204" pitchFamily="34" charset="0"/>
              <a:ea typeface="Tahoma" panose="020B0604030504040204" pitchFamily="34" charset="0"/>
              <a:cs typeface="Tahoma" panose="020B0604030504040204" pitchFamily="34" charset="0"/>
            </a:rPr>
            <a:t>(PESTICED COMPANIES DETAILS)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msher7406@gmail.com" TargetMode="External"/><Relationship Id="rId21" Type="http://schemas.openxmlformats.org/officeDocument/2006/relationships/hyperlink" Target="mailto:info@aurigagroup.com" TargetMode="External"/><Relationship Id="rId42" Type="http://schemas.openxmlformats.org/officeDocument/2006/relationships/hyperlink" Target="mailto:greencoenterprises2018@gmail.com" TargetMode="External"/><Relationship Id="rId47" Type="http://schemas.openxmlformats.org/officeDocument/2006/relationships/hyperlink" Target="mailto:hylandint@gmail%20.com" TargetMode="External"/><Relationship Id="rId63" Type="http://schemas.openxmlformats.org/officeDocument/2006/relationships/hyperlink" Target="mailto:info@mdsargotech.com" TargetMode="External"/><Relationship Id="rId68" Type="http://schemas.openxmlformats.org/officeDocument/2006/relationships/hyperlink" Target="mailto:gilanirahim5@gmail.com" TargetMode="External"/><Relationship Id="rId84" Type="http://schemas.openxmlformats.org/officeDocument/2006/relationships/hyperlink" Target="mailto:Rehmat333973@gmail.com" TargetMode="External"/><Relationship Id="rId89" Type="http://schemas.openxmlformats.org/officeDocument/2006/relationships/hyperlink" Target="mailto:itcsessa@cyber.net.pk" TargetMode="External"/><Relationship Id="rId112" Type="http://schemas.openxmlformats.org/officeDocument/2006/relationships/hyperlink" Target="mailto:altigaagrisolutions@Gmail.com" TargetMode="External"/><Relationship Id="rId16" Type="http://schemas.openxmlformats.org/officeDocument/2006/relationships/hyperlink" Target="mailto:Ahmedagrochemical@yahoo.com" TargetMode="External"/><Relationship Id="rId107" Type="http://schemas.openxmlformats.org/officeDocument/2006/relationships/hyperlink" Target="mailto:latifzehri33@gmail.com" TargetMode="External"/><Relationship Id="rId11" Type="http://schemas.openxmlformats.org/officeDocument/2006/relationships/hyperlink" Target="http://www.agrochinapak.com/" TargetMode="External"/><Relationship Id="rId32" Type="http://schemas.openxmlformats.org/officeDocument/2006/relationships/hyperlink" Target="mailto:naqureshi@engro.com" TargetMode="External"/><Relationship Id="rId37" Type="http://schemas.openxmlformats.org/officeDocument/2006/relationships/hyperlink" Target="mailto:info@4bgroup.com" TargetMode="External"/><Relationship Id="rId53" Type="http://schemas.openxmlformats.org/officeDocument/2006/relationships/hyperlink" Target="mailto:info@jullundurgroup.com" TargetMode="External"/><Relationship Id="rId58" Type="http://schemas.openxmlformats.org/officeDocument/2006/relationships/hyperlink" Target="mailto:Lackhi77@gmail.com" TargetMode="External"/><Relationship Id="rId74" Type="http://schemas.openxmlformats.org/officeDocument/2006/relationships/hyperlink" Target="mailto:pakagro@cyber.net.pk" TargetMode="External"/><Relationship Id="rId79" Type="http://schemas.openxmlformats.org/officeDocument/2006/relationships/hyperlink" Target="mailto:powercropsciences@gmail.com" TargetMode="External"/><Relationship Id="rId102" Type="http://schemas.openxmlformats.org/officeDocument/2006/relationships/hyperlink" Target="mailto:uniagropakistan@gmail.com" TargetMode="External"/><Relationship Id="rId123" Type="http://schemas.openxmlformats.org/officeDocument/2006/relationships/hyperlink" Target="mailto:sanabil.agro.services@gmail.com" TargetMode="External"/><Relationship Id="rId128" Type="http://schemas.openxmlformats.org/officeDocument/2006/relationships/hyperlink" Target="mailto:masoodurrehman26@gmail.com" TargetMode="External"/><Relationship Id="rId5" Type="http://schemas.openxmlformats.org/officeDocument/2006/relationships/hyperlink" Target="mailto:agriawardint@gmail.com" TargetMode="External"/><Relationship Id="rId90" Type="http://schemas.openxmlformats.org/officeDocument/2006/relationships/hyperlink" Target="mailto:info@saybangroup.com" TargetMode="External"/><Relationship Id="rId95" Type="http://schemas.openxmlformats.org/officeDocument/2006/relationships/hyperlink" Target="mailto:info@saci,com.pk" TargetMode="External"/><Relationship Id="rId22" Type="http://schemas.openxmlformats.org/officeDocument/2006/relationships/hyperlink" Target="mailto:avanzuchemicals@gmail.com" TargetMode="External"/><Relationship Id="rId27" Type="http://schemas.openxmlformats.org/officeDocument/2006/relationships/hyperlink" Target="mailto:Cpcs17@outlook.com" TargetMode="External"/><Relationship Id="rId43" Type="http://schemas.openxmlformats.org/officeDocument/2006/relationships/hyperlink" Target="mailto:greenlet@suncropgroup.com" TargetMode="External"/><Relationship Id="rId48" Type="http://schemas.openxmlformats.org/officeDocument/2006/relationships/hyperlink" Target="mailto:info@taragroup.com.pk" TargetMode="External"/><Relationship Id="rId64" Type="http://schemas.openxmlformats.org/officeDocument/2006/relationships/hyperlink" Target="http://www.migroup.pk/" TargetMode="External"/><Relationship Id="rId69" Type="http://schemas.openxmlformats.org/officeDocument/2006/relationships/hyperlink" Target="mailto:novacropscience@gmail.com" TargetMode="External"/><Relationship Id="rId113" Type="http://schemas.openxmlformats.org/officeDocument/2006/relationships/hyperlink" Target="mailto:ahmed.ali2@bayer.com" TargetMode="External"/><Relationship Id="rId118" Type="http://schemas.openxmlformats.org/officeDocument/2006/relationships/hyperlink" Target="mailto:info@trustgroup.pk" TargetMode="External"/><Relationship Id="rId80" Type="http://schemas.openxmlformats.org/officeDocument/2006/relationships/hyperlink" Target="mailto:favarenterprises@hotmail.com" TargetMode="External"/><Relationship Id="rId85" Type="http://schemas.openxmlformats.org/officeDocument/2006/relationships/hyperlink" Target="mailto:ceo@riseag.com.pk" TargetMode="External"/><Relationship Id="rId12" Type="http://schemas.openxmlformats.org/officeDocument/2006/relationships/hyperlink" Target="mailto:agrolixintl@gmail.com" TargetMode="External"/><Relationship Id="rId17" Type="http://schemas.openxmlformats.org/officeDocument/2006/relationships/hyperlink" Target="mailto:postmaster@aliakbargroup.com" TargetMode="External"/><Relationship Id="rId33" Type="http://schemas.openxmlformats.org/officeDocument/2006/relationships/hyperlink" Target="mailto:expert.kissan@gmail.com" TargetMode="External"/><Relationship Id="rId38" Type="http://schemas.openxmlformats.org/officeDocument/2006/relationships/hyperlink" Target="mailto:info@4bgroup.com" TargetMode="External"/><Relationship Id="rId59" Type="http://schemas.openxmlformats.org/officeDocument/2006/relationships/hyperlink" Target="mailto:info@marketsolutions.org.pk" TargetMode="External"/><Relationship Id="rId103" Type="http://schemas.openxmlformats.org/officeDocument/2006/relationships/hyperlink" Target="http://www.udpl.com.pk/" TargetMode="External"/><Relationship Id="rId108" Type="http://schemas.openxmlformats.org/officeDocument/2006/relationships/hyperlink" Target="mailto:Whiteagro200@gmail.com" TargetMode="External"/><Relationship Id="rId124" Type="http://schemas.openxmlformats.org/officeDocument/2006/relationships/hyperlink" Target="mailto:info@sungro.com.pk" TargetMode="External"/><Relationship Id="rId129" Type="http://schemas.openxmlformats.org/officeDocument/2006/relationships/printerSettings" Target="../printerSettings/printerSettings1.bin"/><Relationship Id="rId54" Type="http://schemas.openxmlformats.org/officeDocument/2006/relationships/hyperlink" Target="mailto:kissancarelahore@gmail.com" TargetMode="External"/><Relationship Id="rId70" Type="http://schemas.openxmlformats.org/officeDocument/2006/relationships/hyperlink" Target="mailto:jjattak@gmail.com" TargetMode="External"/><Relationship Id="rId75" Type="http://schemas.openxmlformats.org/officeDocument/2006/relationships/hyperlink" Target="mailto:panpacific@live.com" TargetMode="External"/><Relationship Id="rId91" Type="http://schemas.openxmlformats.org/officeDocument/2006/relationships/hyperlink" Target="mailto:naqqulram@gmail.com" TargetMode="External"/><Relationship Id="rId96" Type="http://schemas.openxmlformats.org/officeDocument/2006/relationships/hyperlink" Target="mailto:info@taragroup.com.pk" TargetMode="External"/><Relationship Id="rId1" Type="http://schemas.openxmlformats.org/officeDocument/2006/relationships/hyperlink" Target="mailto:ambagrodivision@yahoo.com" TargetMode="External"/><Relationship Id="rId6" Type="http://schemas.openxmlformats.org/officeDocument/2006/relationships/hyperlink" Target="mailto:agriresearch.wing.international@gmail.com" TargetMode="External"/><Relationship Id="rId23" Type="http://schemas.openxmlformats.org/officeDocument/2006/relationships/hyperlink" Target="mailto:info@exingroupopakistan.com" TargetMode="External"/><Relationship Id="rId28" Type="http://schemas.openxmlformats.org/officeDocument/2006/relationships/hyperlink" Target="mailto:info@saybangroup.com" TargetMode="External"/><Relationship Id="rId49" Type="http://schemas.openxmlformats.org/officeDocument/2006/relationships/hyperlink" Target="mailto:infoinnovaagri@gmail.com" TargetMode="External"/><Relationship Id="rId114" Type="http://schemas.openxmlformats.org/officeDocument/2006/relationships/hyperlink" Target="mailto:cropli@protonmail.com" TargetMode="External"/><Relationship Id="rId119" Type="http://schemas.openxmlformats.org/officeDocument/2006/relationships/hyperlink" Target="mailto:info@guardrise.com" TargetMode="External"/><Relationship Id="rId44" Type="http://schemas.openxmlformats.org/officeDocument/2006/relationships/hyperlink" Target="mailto:info@greenrevolution.com.pk" TargetMode="External"/><Relationship Id="rId60" Type="http://schemas.openxmlformats.org/officeDocument/2006/relationships/hyperlink" Target="mailto:masco.fad@gmail.com" TargetMode="External"/><Relationship Id="rId65" Type="http://schemas.openxmlformats.org/officeDocument/2006/relationships/hyperlink" Target="mailto:adamjee@yahoo.com" TargetMode="External"/><Relationship Id="rId81" Type="http://schemas.openxmlformats.org/officeDocument/2006/relationships/hyperlink" Target="mailto:rksherwani@yahoo.com" TargetMode="External"/><Relationship Id="rId86" Type="http://schemas.openxmlformats.org/officeDocument/2006/relationships/hyperlink" Target="mailto:Najeebullah859@yahoo.com" TargetMode="External"/><Relationship Id="rId13" Type="http://schemas.openxmlformats.org/officeDocument/2006/relationships/hyperlink" Target="mailto:ida@agrotree.com" TargetMode="External"/><Relationship Id="rId18" Type="http://schemas.openxmlformats.org/officeDocument/2006/relationships/hyperlink" Target="mailto:amcpak@yahoo.com" TargetMode="External"/><Relationship Id="rId39" Type="http://schemas.openxmlformats.org/officeDocument/2006/relationships/hyperlink" Target="mailto:gnoschinternational@gmail.com" TargetMode="External"/><Relationship Id="rId109" Type="http://schemas.openxmlformats.org/officeDocument/2006/relationships/hyperlink" Target="mailto:53nizam.uddin@gmail.com" TargetMode="External"/><Relationship Id="rId34" Type="http://schemas.openxmlformats.org/officeDocument/2006/relationships/hyperlink" Target="mailto:farmistochemicals@gmail.com" TargetMode="External"/><Relationship Id="rId50" Type="http://schemas.openxmlformats.org/officeDocument/2006/relationships/hyperlink" Target="mailto:intaechhr1@outlook.com" TargetMode="External"/><Relationship Id="rId55" Type="http://schemas.openxmlformats.org/officeDocument/2006/relationships/hyperlink" Target="mailto:amcpak@yahoo.com" TargetMode="External"/><Relationship Id="rId76" Type="http://schemas.openxmlformats.org/officeDocument/2006/relationships/hyperlink" Target="mailto:panstarpl@yahoo.com" TargetMode="External"/><Relationship Id="rId97" Type="http://schemas.openxmlformats.org/officeDocument/2006/relationships/hyperlink" Target="mailto:info@sungro.com.pk" TargetMode="External"/><Relationship Id="rId104" Type="http://schemas.openxmlformats.org/officeDocument/2006/relationships/hyperlink" Target="mailto:info@unitedsuppercrops.com" TargetMode="External"/><Relationship Id="rId120" Type="http://schemas.openxmlformats.org/officeDocument/2006/relationships/hyperlink" Target="mailto:iplantcare@gmail.com" TargetMode="External"/><Relationship Id="rId125" Type="http://schemas.openxmlformats.org/officeDocument/2006/relationships/hyperlink" Target="mailto:sawatagroqta@gmail.com" TargetMode="External"/><Relationship Id="rId7" Type="http://schemas.openxmlformats.org/officeDocument/2006/relationships/hyperlink" Target="http://www.fourstargroup.com.pk/" TargetMode="External"/><Relationship Id="rId71" Type="http://schemas.openxmlformats.org/officeDocument/2006/relationships/hyperlink" Target="mailto:info@orangeprotection.com" TargetMode="External"/><Relationship Id="rId92" Type="http://schemas.openxmlformats.org/officeDocument/2006/relationships/hyperlink" Target="http://www.sinopakchemicals.com/" TargetMode="External"/><Relationship Id="rId2" Type="http://schemas.openxmlformats.org/officeDocument/2006/relationships/hyperlink" Target="mailto:Advance_agrotech@yahoo.com" TargetMode="External"/><Relationship Id="rId29" Type="http://schemas.openxmlformats.org/officeDocument/2006/relationships/hyperlink" Target="mailto:sales@creative.agri.com" TargetMode="External"/><Relationship Id="rId24" Type="http://schemas.openxmlformats.org/officeDocument/2006/relationships/hyperlink" Target="mailto:ayanagri@gmail.com" TargetMode="External"/><Relationship Id="rId40" Type="http://schemas.openxmlformats.org/officeDocument/2006/relationships/hyperlink" Target="mailto:info@gomajee.com" TargetMode="External"/><Relationship Id="rId45" Type="http://schemas.openxmlformats.org/officeDocument/2006/relationships/hyperlink" Target="mailto:info@halal19agrotech.com" TargetMode="External"/><Relationship Id="rId66" Type="http://schemas.openxmlformats.org/officeDocument/2006/relationships/hyperlink" Target="mailto:nbcropsciences@gmail.com" TargetMode="External"/><Relationship Id="rId87" Type="http://schemas.openxmlformats.org/officeDocument/2006/relationships/hyperlink" Target="mailto:office@sessaagro.com" TargetMode="External"/><Relationship Id="rId110" Type="http://schemas.openxmlformats.org/officeDocument/2006/relationships/hyperlink" Target="mailto:aasiagro@gmail.com" TargetMode="External"/><Relationship Id="rId115" Type="http://schemas.openxmlformats.org/officeDocument/2006/relationships/hyperlink" Target="mailto:Ayesha.aslam@fmc.com" TargetMode="External"/><Relationship Id="rId61" Type="http://schemas.openxmlformats.org/officeDocument/2006/relationships/hyperlink" Target="mailto:mashalagro786@gmail.com" TargetMode="External"/><Relationship Id="rId82" Type="http://schemas.openxmlformats.org/officeDocument/2006/relationships/hyperlink" Target="mailto:registration@rachnaagro.com" TargetMode="External"/><Relationship Id="rId19" Type="http://schemas.openxmlformats.org/officeDocument/2006/relationships/hyperlink" Target="mailto:arbicointernational@gmail.com" TargetMode="External"/><Relationship Id="rId14" Type="http://schemas.openxmlformats.org/officeDocument/2006/relationships/hyperlink" Target="mailto:Ajmal.Akhtar@agrow.pk" TargetMode="External"/><Relationship Id="rId30" Type="http://schemas.openxmlformats.org/officeDocument/2006/relationships/hyperlink" Target="http://www.dagropakistan.com/" TargetMode="External"/><Relationship Id="rId35" Type="http://schemas.openxmlformats.org/officeDocument/2006/relationships/hyperlink" Target="mailto:foriegnchemicals@gmail.com" TargetMode="External"/><Relationship Id="rId56" Type="http://schemas.openxmlformats.org/officeDocument/2006/relationships/hyperlink" Target="http://www.ici.com.pk/" TargetMode="External"/><Relationship Id="rId77" Type="http://schemas.openxmlformats.org/officeDocument/2006/relationships/hyperlink" Target="mailto:panstarpl@gmail.com" TargetMode="External"/><Relationship Id="rId100" Type="http://schemas.openxmlformats.org/officeDocument/2006/relationships/hyperlink" Target="mailto:info@taragroup.com.pk" TargetMode="External"/><Relationship Id="rId105" Type="http://schemas.openxmlformats.org/officeDocument/2006/relationships/hyperlink" Target="mailto:info.vanguardagri@gmail.com" TargetMode="External"/><Relationship Id="rId126" Type="http://schemas.openxmlformats.org/officeDocument/2006/relationships/hyperlink" Target="http://www.topsunchemical.com/" TargetMode="External"/><Relationship Id="rId8" Type="http://schemas.openxmlformats.org/officeDocument/2006/relationships/hyperlink" Target="http://www.aziz-group.com/" TargetMode="External"/><Relationship Id="rId51" Type="http://schemas.openxmlformats.org/officeDocument/2006/relationships/hyperlink" Target="http://www.jaffer.com/" TargetMode="External"/><Relationship Id="rId72" Type="http://schemas.openxmlformats.org/officeDocument/2006/relationships/hyperlink" Target="mailto:info@adgegroup.com.pk" TargetMode="External"/><Relationship Id="rId93" Type="http://schemas.openxmlformats.org/officeDocument/2006/relationships/hyperlink" Target="mailto:info@solex.com.pk" TargetMode="External"/><Relationship Id="rId98" Type="http://schemas.openxmlformats.org/officeDocument/2006/relationships/hyperlink" Target="mailto:sursabz@gmail.com" TargetMode="External"/><Relationship Id="rId121" Type="http://schemas.openxmlformats.org/officeDocument/2006/relationships/hyperlink" Target="mailto:Najeebullah859@yahoo.com" TargetMode="External"/><Relationship Id="rId3" Type="http://schemas.openxmlformats.org/officeDocument/2006/relationships/hyperlink" Target="mailto:aggriopakistan@gmail.com" TargetMode="External"/><Relationship Id="rId25" Type="http://schemas.openxmlformats.org/officeDocument/2006/relationships/hyperlink" Target="mailto:info@origagroup.com" TargetMode="External"/><Relationship Id="rId46" Type="http://schemas.openxmlformats.org/officeDocument/2006/relationships/hyperlink" Target="mailto:info@patrongroup.com.pk" TargetMode="External"/><Relationship Id="rId67" Type="http://schemas.openxmlformats.org/officeDocument/2006/relationships/hyperlink" Target="mailto:hrnongyao@gmail.com" TargetMode="External"/><Relationship Id="rId116" Type="http://schemas.openxmlformats.org/officeDocument/2006/relationships/hyperlink" Target="mailto:forwardagro22@gmail.com" TargetMode="External"/><Relationship Id="rId20" Type="http://schemas.openxmlformats.org/officeDocument/2006/relationships/hyperlink" Target="mailto:sadikhan61900@gmail.com" TargetMode="External"/><Relationship Id="rId41" Type="http://schemas.openxmlformats.org/officeDocument/2006/relationships/hyperlink" Target="mailto:Saeed.rehman@granulars.com" TargetMode="External"/><Relationship Id="rId62" Type="http://schemas.openxmlformats.org/officeDocument/2006/relationships/hyperlink" Target="mailto:matchlesscropscience@gmail.com" TargetMode="External"/><Relationship Id="rId83" Type="http://schemas.openxmlformats.org/officeDocument/2006/relationships/hyperlink" Target="mailto:hafizullahdotani@gmail.com" TargetMode="External"/><Relationship Id="rId88" Type="http://schemas.openxmlformats.org/officeDocument/2006/relationships/hyperlink" Target="mailto:itesessa@khaiber.net.pk" TargetMode="External"/><Relationship Id="rId111" Type="http://schemas.openxmlformats.org/officeDocument/2006/relationships/hyperlink" Target="mailto:head.mkt@evyoigroup.com" TargetMode="External"/><Relationship Id="rId15" Type="http://schemas.openxmlformats.org/officeDocument/2006/relationships/hyperlink" Target="mailto:Kakarafghan@gmail.com" TargetMode="External"/><Relationship Id="rId36" Type="http://schemas.openxmlformats.org/officeDocument/2006/relationships/hyperlink" Target="mailto:info@4bgroup.com" TargetMode="External"/><Relationship Id="rId57" Type="http://schemas.openxmlformats.org/officeDocument/2006/relationships/hyperlink" Target="http://www.yaqoobgroup.com/" TargetMode="External"/><Relationship Id="rId106" Type="http://schemas.openxmlformats.org/officeDocument/2006/relationships/hyperlink" Target="mailto:Rafiq.ali@ventusagro.com" TargetMode="External"/><Relationship Id="rId127" Type="http://schemas.openxmlformats.org/officeDocument/2006/relationships/hyperlink" Target="http://www.totalcp.com.pk/" TargetMode="External"/><Relationship Id="rId10" Type="http://schemas.openxmlformats.org/officeDocument/2006/relationships/hyperlink" Target="mailto:wahidgroup@gmail.com" TargetMode="External"/><Relationship Id="rId31" Type="http://schemas.openxmlformats.org/officeDocument/2006/relationships/hyperlink" Target="mailto:postmaster@aliakbargroup.com" TargetMode="External"/><Relationship Id="rId52" Type="http://schemas.openxmlformats.org/officeDocument/2006/relationships/hyperlink" Target="mailto:muhammadtahircobra@gmail.com" TargetMode="External"/><Relationship Id="rId73" Type="http://schemas.openxmlformats.org/officeDocument/2006/relationships/hyperlink" Target="mailto:m.ather@hotmail.com" TargetMode="External"/><Relationship Id="rId78" Type="http://schemas.openxmlformats.org/officeDocument/2006/relationships/hyperlink" Target="http://www.plant4life.com.pk/" TargetMode="External"/><Relationship Id="rId94" Type="http://schemas.openxmlformats.org/officeDocument/2006/relationships/hyperlink" Target="http://www.sonachemicals.com.pk/" TargetMode="External"/><Relationship Id="rId99" Type="http://schemas.openxmlformats.org/officeDocument/2006/relationships/hyperlink" Target="mailto:info@taragroup.com.pk" TargetMode="External"/><Relationship Id="rId101" Type="http://schemas.openxmlformats.org/officeDocument/2006/relationships/hyperlink" Target="mailto:Staragrochemicals999@gmail.com" TargetMode="External"/><Relationship Id="rId122" Type="http://schemas.openxmlformats.org/officeDocument/2006/relationships/hyperlink" Target="mailto:thair.yousaf@rudolf.pk" TargetMode="External"/><Relationship Id="rId4" Type="http://schemas.openxmlformats.org/officeDocument/2006/relationships/hyperlink" Target="mailto:agrenpakistan@gmail.com" TargetMode="External"/><Relationship Id="rId9" Type="http://schemas.openxmlformats.org/officeDocument/2006/relationships/hyperlink" Target="mailto:kulachi@yaqoobgroup.com" TargetMode="External"/><Relationship Id="rId26" Type="http://schemas.openxmlformats.org/officeDocument/2006/relationships/hyperlink" Target="mailto:capri@omargroup.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183"/>
  <sheetViews>
    <sheetView tabSelected="1" topLeftCell="I1" zoomScale="115" zoomScaleNormal="115" workbookViewId="0">
      <pane ySplit="2" topLeftCell="A145" activePane="bottomLeft" state="frozen"/>
      <selection pane="bottomLeft" activeCell="S150" sqref="S150"/>
    </sheetView>
  </sheetViews>
  <sheetFormatPr defaultRowHeight="14.4" x14ac:dyDescent="0.3"/>
  <cols>
    <col min="1" max="1" width="10.5546875" bestFit="1" customWidth="1"/>
    <col min="2" max="2" width="5.88671875" bestFit="1" customWidth="1"/>
    <col min="3" max="3" width="8.5546875" customWidth="1"/>
    <col min="4" max="4" width="37.5546875" bestFit="1" customWidth="1"/>
    <col min="5" max="5" width="45.109375" style="26" customWidth="1"/>
    <col min="6" max="6" width="14.109375" bestFit="1" customWidth="1"/>
    <col min="7" max="7" width="34.33203125" bestFit="1" customWidth="1"/>
    <col min="8" max="8" width="16.44140625" bestFit="1" customWidth="1"/>
    <col min="9" max="9" width="12.5546875" bestFit="1" customWidth="1"/>
    <col min="10" max="10" width="30" bestFit="1" customWidth="1"/>
    <col min="11" max="11" width="14.88671875" bestFit="1" customWidth="1"/>
    <col min="12" max="12" width="17.6640625" bestFit="1" customWidth="1"/>
    <col min="13" max="13" width="32.109375" bestFit="1" customWidth="1"/>
    <col min="14" max="14" width="15.6640625" bestFit="1" customWidth="1"/>
    <col min="15" max="15" width="9.88671875" bestFit="1" customWidth="1"/>
    <col min="16" max="16" width="10.109375" bestFit="1" customWidth="1"/>
    <col min="18" max="18" width="4.109375" bestFit="1" customWidth="1"/>
  </cols>
  <sheetData>
    <row r="2" spans="1:19" ht="18" x14ac:dyDescent="0.3">
      <c r="A2" t="s">
        <v>1447</v>
      </c>
      <c r="B2" s="27" t="s">
        <v>670</v>
      </c>
      <c r="C2" s="27" t="s">
        <v>179</v>
      </c>
      <c r="D2" s="27" t="s">
        <v>671</v>
      </c>
      <c r="E2" s="28" t="s">
        <v>177</v>
      </c>
      <c r="F2" s="27" t="s">
        <v>677</v>
      </c>
      <c r="G2" s="27" t="s">
        <v>179</v>
      </c>
      <c r="H2" s="27" t="s">
        <v>684</v>
      </c>
      <c r="I2" s="27" t="s">
        <v>746</v>
      </c>
      <c r="J2" s="27" t="s">
        <v>673</v>
      </c>
      <c r="K2" s="27" t="s">
        <v>747</v>
      </c>
      <c r="L2" s="27" t="s">
        <v>676</v>
      </c>
      <c r="M2" s="27" t="s">
        <v>1446</v>
      </c>
      <c r="N2" s="27" t="s">
        <v>678</v>
      </c>
      <c r="O2" s="27" t="s">
        <v>679</v>
      </c>
      <c r="P2" s="27" t="s">
        <v>680</v>
      </c>
      <c r="Q2" s="27" t="s">
        <v>681</v>
      </c>
      <c r="R2" s="27" t="s">
        <v>682</v>
      </c>
    </row>
    <row r="3" spans="1:19" s="2" customFormat="1" ht="27.6" x14ac:dyDescent="0.3">
      <c r="A3" s="62">
        <v>45871</v>
      </c>
      <c r="B3" s="4">
        <v>1</v>
      </c>
      <c r="C3" s="16">
        <v>905</v>
      </c>
      <c r="D3" s="4" t="s">
        <v>0</v>
      </c>
      <c r="E3" s="19" t="s">
        <v>1</v>
      </c>
      <c r="F3" s="29">
        <v>5440004645741</v>
      </c>
      <c r="G3" s="16" t="s">
        <v>6</v>
      </c>
      <c r="H3" s="19" t="s">
        <v>4</v>
      </c>
      <c r="I3" s="20"/>
      <c r="J3" s="9" t="s">
        <v>5</v>
      </c>
      <c r="K3" s="5" t="s">
        <v>748</v>
      </c>
      <c r="L3" s="4" t="s">
        <v>686</v>
      </c>
      <c r="M3" s="20" t="s">
        <v>691</v>
      </c>
      <c r="N3" s="5" t="s">
        <v>692</v>
      </c>
      <c r="O3" s="5">
        <v>10</v>
      </c>
      <c r="P3" s="36">
        <v>50000</v>
      </c>
      <c r="Q3" s="5" t="s">
        <v>693</v>
      </c>
      <c r="R3" s="5"/>
      <c r="S3" s="2" t="s">
        <v>1455</v>
      </c>
    </row>
    <row r="4" spans="1:19" s="2" customFormat="1" ht="27.6" x14ac:dyDescent="0.3">
      <c r="B4" s="4">
        <v>2</v>
      </c>
      <c r="C4" s="30" t="s">
        <v>11</v>
      </c>
      <c r="D4" s="30" t="s">
        <v>7</v>
      </c>
      <c r="E4" s="31" t="s">
        <v>8</v>
      </c>
      <c r="F4" s="30">
        <v>4399191</v>
      </c>
      <c r="G4" s="30" t="s">
        <v>697</v>
      </c>
      <c r="H4" s="30" t="s">
        <v>12</v>
      </c>
      <c r="I4" s="30" t="s">
        <v>13</v>
      </c>
      <c r="J4" s="22" t="s">
        <v>696</v>
      </c>
      <c r="K4" s="5" t="s">
        <v>749</v>
      </c>
      <c r="L4" s="30" t="s">
        <v>686</v>
      </c>
      <c r="M4" s="20" t="s">
        <v>702</v>
      </c>
      <c r="N4" s="5" t="s">
        <v>703</v>
      </c>
      <c r="O4" s="5" t="s">
        <v>12</v>
      </c>
      <c r="P4" s="5" t="s">
        <v>12</v>
      </c>
      <c r="Q4" s="5" t="s">
        <v>704</v>
      </c>
      <c r="R4" s="5"/>
    </row>
    <row r="5" spans="1:19" s="2" customFormat="1" ht="27.6" x14ac:dyDescent="0.3">
      <c r="B5" s="4">
        <v>3</v>
      </c>
      <c r="C5" s="16">
        <v>862</v>
      </c>
      <c r="D5" s="4" t="s">
        <v>14</v>
      </c>
      <c r="E5" s="19" t="s">
        <v>15</v>
      </c>
      <c r="F5" s="4"/>
      <c r="G5" s="16" t="s">
        <v>16</v>
      </c>
      <c r="H5" s="16"/>
      <c r="I5" s="16"/>
      <c r="J5" s="16"/>
      <c r="K5" s="5" t="s">
        <v>750</v>
      </c>
      <c r="L5" s="4"/>
      <c r="M5" s="5"/>
      <c r="N5" s="5"/>
      <c r="O5" s="5"/>
      <c r="P5" s="5"/>
      <c r="Q5" s="5"/>
      <c r="R5" s="5"/>
    </row>
    <row r="6" spans="1:19" s="2" customFormat="1" ht="13.8" x14ac:dyDescent="0.3">
      <c r="B6" s="4">
        <v>4</v>
      </c>
      <c r="C6" s="16">
        <v>1034</v>
      </c>
      <c r="D6" s="4" t="s">
        <v>17</v>
      </c>
      <c r="E6" s="19" t="s">
        <v>18</v>
      </c>
      <c r="F6" s="4"/>
      <c r="G6" s="16" t="s">
        <v>16</v>
      </c>
      <c r="H6" s="19" t="s">
        <v>19</v>
      </c>
      <c r="I6" s="19"/>
      <c r="J6" s="9" t="s">
        <v>20</v>
      </c>
      <c r="K6" s="5" t="s">
        <v>751</v>
      </c>
      <c r="L6" s="4"/>
      <c r="M6" s="5"/>
      <c r="N6" s="5"/>
      <c r="O6" s="5"/>
      <c r="P6" s="5"/>
      <c r="Q6" s="5"/>
      <c r="R6" s="5"/>
    </row>
    <row r="7" spans="1:19" s="2" customFormat="1" ht="69" x14ac:dyDescent="0.3">
      <c r="B7" s="4">
        <v>5</v>
      </c>
      <c r="C7" s="16">
        <v>1050</v>
      </c>
      <c r="D7" s="4" t="s">
        <v>21</v>
      </c>
      <c r="E7" s="19" t="s">
        <v>22</v>
      </c>
      <c r="F7" s="4">
        <v>3927275</v>
      </c>
      <c r="G7" s="16" t="s">
        <v>6</v>
      </c>
      <c r="H7" s="16" t="s">
        <v>709</v>
      </c>
      <c r="I7" s="16" t="s">
        <v>708</v>
      </c>
      <c r="J7" s="23" t="s">
        <v>707</v>
      </c>
      <c r="K7" s="5" t="s">
        <v>752</v>
      </c>
      <c r="L7" s="4" t="s">
        <v>686</v>
      </c>
      <c r="M7" s="5" t="s">
        <v>12</v>
      </c>
      <c r="N7" s="20" t="s">
        <v>714</v>
      </c>
      <c r="O7" s="5">
        <v>97</v>
      </c>
      <c r="P7" s="36">
        <v>50000</v>
      </c>
      <c r="Q7" s="5" t="s">
        <v>693</v>
      </c>
      <c r="R7" s="5"/>
    </row>
    <row r="8" spans="1:19" s="2" customFormat="1" ht="41.4" x14ac:dyDescent="0.3">
      <c r="B8" s="4">
        <v>6</v>
      </c>
      <c r="C8" s="32" t="s">
        <v>25</v>
      </c>
      <c r="D8" s="4" t="s">
        <v>23</v>
      </c>
      <c r="E8" s="16" t="s">
        <v>24</v>
      </c>
      <c r="F8" s="4">
        <v>7235138</v>
      </c>
      <c r="G8" s="16" t="s">
        <v>25</v>
      </c>
      <c r="H8" s="33">
        <v>3018633368</v>
      </c>
      <c r="I8" s="33">
        <v>3018633368</v>
      </c>
      <c r="J8" s="17" t="s">
        <v>26</v>
      </c>
      <c r="K8" s="5" t="s">
        <v>753</v>
      </c>
      <c r="L8" s="4" t="s">
        <v>686</v>
      </c>
      <c r="M8" s="5" t="s">
        <v>12</v>
      </c>
      <c r="N8" s="5" t="s">
        <v>12</v>
      </c>
      <c r="O8" s="5">
        <v>350</v>
      </c>
      <c r="P8" s="36">
        <v>100000</v>
      </c>
      <c r="Q8" s="5"/>
      <c r="R8" s="5"/>
    </row>
    <row r="9" spans="1:19" s="2" customFormat="1" ht="27.6" x14ac:dyDescent="0.3">
      <c r="B9" s="4">
        <v>7</v>
      </c>
      <c r="C9" s="16">
        <v>1081</v>
      </c>
      <c r="D9" s="4" t="s">
        <v>27</v>
      </c>
      <c r="E9" s="19" t="s">
        <v>28</v>
      </c>
      <c r="F9" s="4">
        <v>4013803</v>
      </c>
      <c r="G9" s="16" t="s">
        <v>16</v>
      </c>
      <c r="H9" s="19" t="s">
        <v>29</v>
      </c>
      <c r="I9" s="18">
        <v>3451004018</v>
      </c>
      <c r="J9" s="9" t="s">
        <v>30</v>
      </c>
      <c r="K9" s="5" t="s">
        <v>754</v>
      </c>
      <c r="L9" s="4" t="s">
        <v>686</v>
      </c>
      <c r="M9" s="5" t="s">
        <v>12</v>
      </c>
      <c r="N9" s="5" t="s">
        <v>729</v>
      </c>
      <c r="O9" s="5">
        <v>61</v>
      </c>
      <c r="P9" s="36">
        <v>100000</v>
      </c>
      <c r="Q9" s="5"/>
      <c r="R9" s="5"/>
    </row>
    <row r="10" spans="1:19" s="2" customFormat="1" ht="27.6" x14ac:dyDescent="0.3">
      <c r="B10" s="4">
        <v>8</v>
      </c>
      <c r="C10" s="16">
        <v>747</v>
      </c>
      <c r="D10" s="4" t="s">
        <v>31</v>
      </c>
      <c r="E10" s="19" t="s">
        <v>32</v>
      </c>
      <c r="F10" s="4"/>
      <c r="G10" s="16" t="s">
        <v>16</v>
      </c>
      <c r="H10" s="19" t="s">
        <v>33</v>
      </c>
      <c r="I10" s="19"/>
      <c r="J10" s="9" t="s">
        <v>34</v>
      </c>
      <c r="K10" s="5" t="s">
        <v>755</v>
      </c>
      <c r="L10" s="4"/>
      <c r="M10" s="5"/>
      <c r="N10" s="5"/>
      <c r="O10" s="5"/>
      <c r="P10" s="5"/>
      <c r="Q10" s="5"/>
      <c r="R10" s="5"/>
    </row>
    <row r="11" spans="1:19" s="2" customFormat="1" ht="13.8" x14ac:dyDescent="0.3">
      <c r="B11" s="4">
        <v>9</v>
      </c>
      <c r="C11" s="16">
        <v>818</v>
      </c>
      <c r="D11" s="4" t="s">
        <v>35</v>
      </c>
      <c r="E11" s="19" t="s">
        <v>36</v>
      </c>
      <c r="F11" s="4"/>
      <c r="G11" s="16" t="s">
        <v>16</v>
      </c>
      <c r="H11" s="16"/>
      <c r="I11" s="16"/>
      <c r="J11" s="16"/>
      <c r="K11" s="5" t="s">
        <v>756</v>
      </c>
      <c r="L11" s="4"/>
      <c r="M11" s="5"/>
      <c r="N11" s="5"/>
      <c r="O11" s="5"/>
      <c r="P11" s="5"/>
      <c r="Q11" s="5"/>
      <c r="R11" s="5"/>
    </row>
    <row r="12" spans="1:19" s="2" customFormat="1" ht="41.4" x14ac:dyDescent="0.3">
      <c r="B12" s="4">
        <v>10</v>
      </c>
      <c r="C12" s="16">
        <v>1058</v>
      </c>
      <c r="D12" s="4" t="s">
        <v>37</v>
      </c>
      <c r="E12" s="19" t="s">
        <v>38</v>
      </c>
      <c r="F12" s="29">
        <v>5430207818091</v>
      </c>
      <c r="G12" s="16" t="s">
        <v>16</v>
      </c>
      <c r="H12" s="19" t="s">
        <v>39</v>
      </c>
      <c r="I12" s="20" t="s">
        <v>733</v>
      </c>
      <c r="J12" s="9" t="s">
        <v>40</v>
      </c>
      <c r="K12" s="5" t="s">
        <v>757</v>
      </c>
      <c r="L12" s="4" t="s">
        <v>686</v>
      </c>
      <c r="M12" s="19" t="s">
        <v>38</v>
      </c>
      <c r="N12" s="20" t="s">
        <v>736</v>
      </c>
      <c r="O12" s="5">
        <v>11</v>
      </c>
      <c r="P12" s="36">
        <v>50000</v>
      </c>
      <c r="Q12" s="5" t="s">
        <v>693</v>
      </c>
      <c r="R12" s="5"/>
    </row>
    <row r="13" spans="1:19" s="2" customFormat="1" ht="13.8" x14ac:dyDescent="0.3">
      <c r="B13" s="4">
        <v>11</v>
      </c>
      <c r="C13" s="30">
        <v>137806</v>
      </c>
      <c r="D13" s="30" t="s">
        <v>41</v>
      </c>
      <c r="E13" s="31" t="s">
        <v>42</v>
      </c>
      <c r="F13" s="34">
        <v>1710176707981</v>
      </c>
      <c r="G13" s="30" t="s">
        <v>740</v>
      </c>
      <c r="H13" s="30" t="s">
        <v>45</v>
      </c>
      <c r="I13" s="30" t="s">
        <v>739</v>
      </c>
      <c r="J13" s="17" t="s">
        <v>46</v>
      </c>
      <c r="K13" s="5" t="s">
        <v>758</v>
      </c>
      <c r="L13" s="30" t="s">
        <v>686</v>
      </c>
      <c r="M13" s="5" t="s">
        <v>12</v>
      </c>
      <c r="N13" s="5"/>
      <c r="O13" s="5">
        <v>2</v>
      </c>
      <c r="P13" s="36">
        <v>100000</v>
      </c>
      <c r="Q13" s="5"/>
      <c r="R13" s="5"/>
    </row>
    <row r="14" spans="1:19" s="47" customFormat="1" ht="27.6" x14ac:dyDescent="0.3">
      <c r="B14" s="42">
        <v>12</v>
      </c>
      <c r="C14" s="43">
        <v>817</v>
      </c>
      <c r="D14" s="42" t="s">
        <v>47</v>
      </c>
      <c r="E14" s="44" t="s">
        <v>48</v>
      </c>
      <c r="F14" s="42"/>
      <c r="G14" s="43" t="s">
        <v>16</v>
      </c>
      <c r="H14" s="44" t="s">
        <v>49</v>
      </c>
      <c r="I14" s="44"/>
      <c r="J14" s="45" t="s">
        <v>50</v>
      </c>
      <c r="K14" s="46" t="s">
        <v>756</v>
      </c>
      <c r="L14" s="42"/>
      <c r="M14" s="46"/>
      <c r="N14" s="46"/>
      <c r="O14" s="46"/>
      <c r="P14" s="46"/>
      <c r="Q14" s="46"/>
      <c r="R14" s="46"/>
    </row>
    <row r="15" spans="1:19" s="2" customFormat="1" ht="27.6" x14ac:dyDescent="0.3">
      <c r="B15" s="4">
        <v>13</v>
      </c>
      <c r="C15" s="16" t="s">
        <v>55</v>
      </c>
      <c r="D15" s="4" t="s">
        <v>51</v>
      </c>
      <c r="E15" s="19" t="s">
        <v>52</v>
      </c>
      <c r="F15" s="4">
        <v>1689341</v>
      </c>
      <c r="G15" s="16" t="s">
        <v>58</v>
      </c>
      <c r="H15" s="18" t="s">
        <v>56</v>
      </c>
      <c r="I15" s="18"/>
      <c r="J15" s="18" t="s">
        <v>57</v>
      </c>
      <c r="K15" s="5" t="s">
        <v>759</v>
      </c>
      <c r="L15" s="4" t="s">
        <v>686</v>
      </c>
      <c r="M15" s="19" t="s">
        <v>52</v>
      </c>
      <c r="N15" s="5" t="s">
        <v>729</v>
      </c>
      <c r="O15" s="5">
        <v>62</v>
      </c>
      <c r="P15" s="36">
        <v>70000</v>
      </c>
      <c r="Q15" s="5" t="s">
        <v>693</v>
      </c>
      <c r="R15" s="5"/>
    </row>
    <row r="16" spans="1:19" s="47" customFormat="1" ht="13.8" x14ac:dyDescent="0.3">
      <c r="B16" s="42">
        <v>14</v>
      </c>
      <c r="C16" s="43">
        <v>0</v>
      </c>
      <c r="D16" s="42" t="s">
        <v>59</v>
      </c>
      <c r="E16" s="44" t="s">
        <v>52</v>
      </c>
      <c r="F16" s="42"/>
      <c r="G16" s="43" t="s">
        <v>60</v>
      </c>
      <c r="H16" s="42"/>
      <c r="I16" s="42"/>
      <c r="J16" s="42"/>
      <c r="K16" s="46" t="s">
        <v>760</v>
      </c>
      <c r="L16" s="42"/>
      <c r="M16" s="46"/>
      <c r="N16" s="46"/>
      <c r="O16" s="46"/>
      <c r="P16" s="46"/>
      <c r="Q16" s="46"/>
      <c r="R16" s="46"/>
    </row>
    <row r="17" spans="1:19" s="2" customFormat="1" ht="27.6" x14ac:dyDescent="0.3">
      <c r="B17" s="4">
        <v>15</v>
      </c>
      <c r="C17" s="30" t="s">
        <v>65</v>
      </c>
      <c r="D17" s="30" t="s">
        <v>61</v>
      </c>
      <c r="E17" s="31" t="s">
        <v>62</v>
      </c>
      <c r="F17" s="30" t="s">
        <v>12</v>
      </c>
      <c r="G17" s="30" t="s">
        <v>897</v>
      </c>
      <c r="H17" s="30" t="s">
        <v>66</v>
      </c>
      <c r="I17" s="30" t="s">
        <v>12</v>
      </c>
      <c r="J17" s="17" t="s">
        <v>67</v>
      </c>
      <c r="K17" s="5" t="s">
        <v>761</v>
      </c>
      <c r="L17" s="30" t="s">
        <v>686</v>
      </c>
      <c r="M17" s="31" t="s">
        <v>62</v>
      </c>
      <c r="N17" s="20" t="s">
        <v>898</v>
      </c>
      <c r="O17" s="5"/>
      <c r="P17" s="36">
        <v>100000</v>
      </c>
      <c r="Q17" s="5"/>
      <c r="R17" s="5"/>
    </row>
    <row r="18" spans="1:19" s="2" customFormat="1" ht="13.8" x14ac:dyDescent="0.3">
      <c r="B18" s="4">
        <v>16</v>
      </c>
      <c r="C18" s="16">
        <v>0</v>
      </c>
      <c r="D18" s="42" t="s">
        <v>68</v>
      </c>
      <c r="E18" s="19" t="s">
        <v>52</v>
      </c>
      <c r="F18" s="4"/>
      <c r="G18" s="16" t="s">
        <v>60</v>
      </c>
      <c r="H18" s="18" t="s">
        <v>56</v>
      </c>
      <c r="I18" s="18"/>
      <c r="J18" s="17" t="s">
        <v>57</v>
      </c>
      <c r="K18" s="5" t="s">
        <v>760</v>
      </c>
      <c r="L18" s="4"/>
      <c r="M18" s="5"/>
      <c r="N18" s="5"/>
      <c r="O18" s="5"/>
      <c r="P18" s="5"/>
      <c r="Q18" s="5"/>
      <c r="R18" s="5"/>
    </row>
    <row r="19" spans="1:19" s="2" customFormat="1" ht="27.6" x14ac:dyDescent="0.3">
      <c r="B19" s="4">
        <v>17</v>
      </c>
      <c r="C19" s="16">
        <v>885</v>
      </c>
      <c r="D19" s="42" t="s">
        <v>69</v>
      </c>
      <c r="E19" s="19" t="s">
        <v>70</v>
      </c>
      <c r="F19" s="4"/>
      <c r="G19" s="16" t="s">
        <v>16</v>
      </c>
      <c r="H19" s="19" t="s">
        <v>71</v>
      </c>
      <c r="I19" s="19"/>
      <c r="J19" s="9" t="s">
        <v>72</v>
      </c>
      <c r="K19" s="5" t="s">
        <v>762</v>
      </c>
      <c r="L19" s="4"/>
      <c r="M19" s="5"/>
      <c r="N19" s="5"/>
      <c r="O19" s="5"/>
      <c r="P19" s="5"/>
      <c r="Q19" s="5"/>
      <c r="R19" s="5"/>
    </row>
    <row r="20" spans="1:19" s="2" customFormat="1" ht="27.6" x14ac:dyDescent="0.3">
      <c r="B20" s="4">
        <v>18</v>
      </c>
      <c r="C20" s="16">
        <v>0</v>
      </c>
      <c r="D20" s="42" t="s">
        <v>73</v>
      </c>
      <c r="E20" s="19" t="s">
        <v>74</v>
      </c>
      <c r="F20" s="4"/>
      <c r="G20" s="16" t="s">
        <v>60</v>
      </c>
      <c r="H20" s="18" t="s">
        <v>75</v>
      </c>
      <c r="I20" s="18"/>
      <c r="J20" s="17" t="s">
        <v>76</v>
      </c>
      <c r="K20" s="5" t="s">
        <v>760</v>
      </c>
      <c r="L20" s="4"/>
      <c r="M20" s="5"/>
      <c r="N20" s="5"/>
      <c r="O20" s="5"/>
      <c r="P20" s="5"/>
      <c r="Q20" s="5"/>
      <c r="R20" s="5"/>
    </row>
    <row r="21" spans="1:19" s="2" customFormat="1" ht="13.8" x14ac:dyDescent="0.3">
      <c r="B21" s="4">
        <v>19</v>
      </c>
      <c r="C21" s="16">
        <v>0</v>
      </c>
      <c r="D21" s="42" t="s">
        <v>77</v>
      </c>
      <c r="E21" s="16"/>
      <c r="F21" s="4"/>
      <c r="G21" s="16" t="s">
        <v>60</v>
      </c>
      <c r="H21" s="4"/>
      <c r="I21" s="4"/>
      <c r="J21" s="4"/>
      <c r="K21" s="5" t="s">
        <v>760</v>
      </c>
      <c r="L21" s="4"/>
      <c r="M21" s="5"/>
      <c r="N21" s="5"/>
      <c r="O21" s="5"/>
      <c r="P21" s="5"/>
      <c r="Q21" s="5"/>
      <c r="R21" s="5"/>
    </row>
    <row r="22" spans="1:19" s="2" customFormat="1" ht="13.8" x14ac:dyDescent="0.3">
      <c r="B22" s="4">
        <v>20</v>
      </c>
      <c r="C22" s="30">
        <v>890030</v>
      </c>
      <c r="D22" s="48" t="s">
        <v>78</v>
      </c>
      <c r="E22" s="31" t="s">
        <v>79</v>
      </c>
      <c r="F22" s="30"/>
      <c r="G22" s="30"/>
      <c r="H22" s="30" t="s">
        <v>81</v>
      </c>
      <c r="I22" s="30" t="s">
        <v>12</v>
      </c>
      <c r="J22" s="17" t="s">
        <v>82</v>
      </c>
      <c r="K22" s="5" t="s">
        <v>748</v>
      </c>
      <c r="L22" s="30"/>
      <c r="M22" s="5"/>
      <c r="N22" s="5"/>
      <c r="O22" s="5"/>
      <c r="P22" s="5"/>
      <c r="Q22" s="5"/>
      <c r="R22" s="5"/>
    </row>
    <row r="23" spans="1:19" s="2" customFormat="1" ht="41.4" x14ac:dyDescent="0.3">
      <c r="B23" s="4">
        <v>21</v>
      </c>
      <c r="C23" s="16">
        <v>981</v>
      </c>
      <c r="D23" s="4" t="s">
        <v>83</v>
      </c>
      <c r="E23" s="19" t="s">
        <v>84</v>
      </c>
      <c r="F23" s="4">
        <v>3370667</v>
      </c>
      <c r="G23" s="16" t="s">
        <v>16</v>
      </c>
      <c r="H23" s="19" t="s">
        <v>87</v>
      </c>
      <c r="I23" s="19" t="s">
        <v>12</v>
      </c>
      <c r="J23" s="9" t="s">
        <v>88</v>
      </c>
      <c r="K23" s="5" t="s">
        <v>763</v>
      </c>
      <c r="L23" s="4" t="s">
        <v>686</v>
      </c>
      <c r="M23" s="19" t="s">
        <v>84</v>
      </c>
      <c r="N23" s="5" t="s">
        <v>900</v>
      </c>
      <c r="O23" s="36">
        <v>151152</v>
      </c>
      <c r="P23" s="36">
        <v>100000</v>
      </c>
      <c r="Q23" s="5"/>
      <c r="R23" s="5"/>
    </row>
    <row r="24" spans="1:19" s="2" customFormat="1" ht="27.6" x14ac:dyDescent="0.3">
      <c r="B24" s="4">
        <v>22</v>
      </c>
      <c r="C24" s="16">
        <v>1</v>
      </c>
      <c r="D24" s="42" t="s">
        <v>89</v>
      </c>
      <c r="E24" s="19" t="s">
        <v>90</v>
      </c>
      <c r="F24" s="4"/>
      <c r="G24" s="16" t="s">
        <v>93</v>
      </c>
      <c r="H24" s="19" t="s">
        <v>91</v>
      </c>
      <c r="I24" s="19"/>
      <c r="J24" s="9" t="s">
        <v>92</v>
      </c>
      <c r="K24" s="5" t="s">
        <v>764</v>
      </c>
      <c r="L24" s="4"/>
      <c r="M24" s="5"/>
      <c r="N24" s="5"/>
      <c r="O24" s="5"/>
      <c r="P24" s="5"/>
      <c r="Q24" s="5"/>
      <c r="R24" s="5"/>
    </row>
    <row r="25" spans="1:19" s="2" customFormat="1" ht="13.8" x14ac:dyDescent="0.3">
      <c r="B25" s="4">
        <v>23</v>
      </c>
      <c r="C25" s="16">
        <v>325</v>
      </c>
      <c r="D25" s="42" t="s">
        <v>94</v>
      </c>
      <c r="E25" s="19" t="s">
        <v>95</v>
      </c>
      <c r="F25" s="4"/>
      <c r="G25" s="16" t="s">
        <v>100</v>
      </c>
      <c r="H25" s="19" t="s">
        <v>98</v>
      </c>
      <c r="I25" s="19"/>
      <c r="J25" s="9" t="s">
        <v>99</v>
      </c>
      <c r="K25" s="5" t="s">
        <v>765</v>
      </c>
      <c r="L25" s="4"/>
      <c r="M25" s="5"/>
      <c r="N25" s="5"/>
      <c r="O25" s="5"/>
      <c r="P25" s="5"/>
      <c r="Q25" s="5"/>
      <c r="R25" s="5"/>
    </row>
    <row r="26" spans="1:19" s="2" customFormat="1" ht="13.8" x14ac:dyDescent="0.3">
      <c r="B26" s="4">
        <v>24</v>
      </c>
      <c r="C26" s="16">
        <v>163998</v>
      </c>
      <c r="D26" s="42" t="s">
        <v>101</v>
      </c>
      <c r="E26" s="16" t="s">
        <v>102</v>
      </c>
      <c r="F26" s="4"/>
      <c r="G26" s="16" t="s">
        <v>16</v>
      </c>
      <c r="H26" s="16"/>
      <c r="I26" s="16">
        <v>3003833459</v>
      </c>
      <c r="J26" s="16"/>
      <c r="K26" s="5" t="s">
        <v>766</v>
      </c>
      <c r="L26" s="4"/>
      <c r="M26" s="5"/>
      <c r="N26" s="5"/>
      <c r="O26" s="5"/>
      <c r="P26" s="5"/>
      <c r="Q26" s="5"/>
      <c r="R26" s="5"/>
    </row>
    <row r="27" spans="1:19" s="2" customFormat="1" ht="27.6" x14ac:dyDescent="0.3">
      <c r="B27" s="4">
        <v>25</v>
      </c>
      <c r="C27" s="16">
        <v>0</v>
      </c>
      <c r="D27" s="42" t="s">
        <v>103</v>
      </c>
      <c r="E27" s="19" t="s">
        <v>104</v>
      </c>
      <c r="F27" s="4"/>
      <c r="G27" s="16" t="s">
        <v>60</v>
      </c>
      <c r="H27" s="4"/>
      <c r="I27" s="4"/>
      <c r="J27" s="4"/>
      <c r="K27" s="5" t="s">
        <v>760</v>
      </c>
      <c r="L27" s="4"/>
      <c r="M27" s="5"/>
      <c r="N27" s="5"/>
      <c r="O27" s="5"/>
      <c r="P27" s="5"/>
      <c r="Q27" s="5"/>
      <c r="R27" s="5"/>
    </row>
    <row r="28" spans="1:19" s="2" customFormat="1" ht="96.6" x14ac:dyDescent="0.3">
      <c r="B28" s="4">
        <v>26</v>
      </c>
      <c r="C28" s="16">
        <v>1022</v>
      </c>
      <c r="D28" s="4" t="s">
        <v>105</v>
      </c>
      <c r="E28" s="19" t="s">
        <v>106</v>
      </c>
      <c r="F28" s="4" t="s">
        <v>906</v>
      </c>
      <c r="G28" s="16" t="s">
        <v>110</v>
      </c>
      <c r="H28" s="19" t="s">
        <v>107</v>
      </c>
      <c r="I28" s="19" t="s">
        <v>108</v>
      </c>
      <c r="J28" s="9" t="s">
        <v>109</v>
      </c>
      <c r="K28" s="5" t="s">
        <v>767</v>
      </c>
      <c r="L28" s="4" t="s">
        <v>686</v>
      </c>
      <c r="M28" s="20" t="s">
        <v>907</v>
      </c>
      <c r="N28" s="20" t="s">
        <v>908</v>
      </c>
      <c r="O28" s="5">
        <v>5</v>
      </c>
      <c r="P28" s="36">
        <v>50000</v>
      </c>
      <c r="Q28" s="5"/>
      <c r="R28" s="5"/>
    </row>
    <row r="29" spans="1:19" s="2" customFormat="1" ht="27.6" x14ac:dyDescent="0.3">
      <c r="B29" s="4">
        <v>27</v>
      </c>
      <c r="C29" s="16">
        <v>944</v>
      </c>
      <c r="D29" s="42" t="s">
        <v>111</v>
      </c>
      <c r="E29" s="19" t="s">
        <v>112</v>
      </c>
      <c r="F29" s="4"/>
      <c r="G29" s="16" t="s">
        <v>110</v>
      </c>
      <c r="H29" s="19" t="s">
        <v>113</v>
      </c>
      <c r="I29" s="19"/>
      <c r="J29" s="19" t="s">
        <v>114</v>
      </c>
      <c r="K29" s="5" t="s">
        <v>768</v>
      </c>
      <c r="L29" s="4"/>
      <c r="M29" s="5"/>
      <c r="N29" s="5"/>
      <c r="O29" s="5"/>
      <c r="P29" s="5"/>
      <c r="Q29" s="5"/>
      <c r="R29" s="5"/>
    </row>
    <row r="30" spans="1:19" s="2" customFormat="1" ht="55.2" x14ac:dyDescent="0.3">
      <c r="A30" s="62">
        <v>45871</v>
      </c>
      <c r="B30" s="4">
        <v>28</v>
      </c>
      <c r="C30" s="16">
        <v>906</v>
      </c>
      <c r="D30" s="42" t="s">
        <v>115</v>
      </c>
      <c r="E30" s="19" t="s">
        <v>116</v>
      </c>
      <c r="F30" s="4"/>
      <c r="G30" s="16" t="s">
        <v>6</v>
      </c>
      <c r="H30" s="19" t="s">
        <v>119</v>
      </c>
      <c r="I30" s="19"/>
      <c r="J30" s="9" t="s">
        <v>120</v>
      </c>
      <c r="K30" s="5" t="s">
        <v>748</v>
      </c>
      <c r="L30" s="4"/>
      <c r="M30" s="5"/>
      <c r="N30" s="5"/>
      <c r="O30" s="5"/>
      <c r="P30" s="5"/>
      <c r="Q30" s="5"/>
      <c r="R30" s="5"/>
      <c r="S30" s="63" t="s">
        <v>1457</v>
      </c>
    </row>
    <row r="31" spans="1:19" s="2" customFormat="1" ht="207" x14ac:dyDescent="0.3">
      <c r="A31" s="62">
        <v>45878</v>
      </c>
      <c r="B31" s="4">
        <v>29</v>
      </c>
      <c r="C31" s="30">
        <v>143247</v>
      </c>
      <c r="D31" s="30" t="s">
        <v>121</v>
      </c>
      <c r="E31" s="31" t="s">
        <v>122</v>
      </c>
      <c r="F31" s="30">
        <v>6615718</v>
      </c>
      <c r="G31" s="30" t="s">
        <v>917</v>
      </c>
      <c r="H31" s="30" t="s">
        <v>125</v>
      </c>
      <c r="I31" s="30" t="s">
        <v>918</v>
      </c>
      <c r="J31" s="50" t="s">
        <v>916</v>
      </c>
      <c r="K31" s="5" t="s">
        <v>769</v>
      </c>
      <c r="L31" s="30" t="s">
        <v>686</v>
      </c>
      <c r="M31" s="31" t="s">
        <v>1451</v>
      </c>
      <c r="N31" s="20" t="s">
        <v>919</v>
      </c>
      <c r="O31" s="5">
        <v>63</v>
      </c>
      <c r="P31" s="36">
        <v>100000</v>
      </c>
      <c r="Q31" s="5"/>
      <c r="R31" s="5"/>
      <c r="S31" s="63" t="s">
        <v>1452</v>
      </c>
    </row>
    <row r="32" spans="1:19" s="2" customFormat="1" ht="27.6" x14ac:dyDescent="0.3">
      <c r="B32" s="4">
        <v>30</v>
      </c>
      <c r="C32" s="16">
        <v>1103</v>
      </c>
      <c r="D32" s="42" t="s">
        <v>126</v>
      </c>
      <c r="E32" s="19" t="s">
        <v>668</v>
      </c>
      <c r="F32" s="4"/>
      <c r="G32" s="16" t="s">
        <v>110</v>
      </c>
      <c r="H32" s="18" t="s">
        <v>127</v>
      </c>
      <c r="I32" s="18" t="s">
        <v>127</v>
      </c>
      <c r="J32" s="16"/>
      <c r="K32" s="5" t="s">
        <v>770</v>
      </c>
      <c r="L32" s="4"/>
      <c r="M32" s="5"/>
      <c r="N32" s="5"/>
      <c r="O32" s="5"/>
      <c r="P32" s="5"/>
      <c r="Q32" s="5"/>
      <c r="R32" s="5"/>
    </row>
    <row r="33" spans="2:18" s="2" customFormat="1" ht="27.6" x14ac:dyDescent="0.3">
      <c r="B33" s="4">
        <v>31</v>
      </c>
      <c r="C33" s="16">
        <v>0</v>
      </c>
      <c r="D33" s="42" t="s">
        <v>128</v>
      </c>
      <c r="E33" s="19" t="s">
        <v>129</v>
      </c>
      <c r="F33" s="4"/>
      <c r="G33" s="16" t="s">
        <v>60</v>
      </c>
      <c r="H33" s="4"/>
      <c r="I33" s="18" t="s">
        <v>130</v>
      </c>
      <c r="J33" s="17" t="s">
        <v>131</v>
      </c>
      <c r="K33" s="5" t="s">
        <v>760</v>
      </c>
      <c r="L33" s="4"/>
      <c r="M33" s="5"/>
      <c r="N33" s="5"/>
      <c r="O33" s="5"/>
      <c r="P33" s="5"/>
      <c r="Q33" s="5"/>
      <c r="R33" s="5"/>
    </row>
    <row r="34" spans="2:18" s="2" customFormat="1" ht="55.2" x14ac:dyDescent="0.3">
      <c r="B34" s="4">
        <v>32</v>
      </c>
      <c r="C34" s="16">
        <v>234142</v>
      </c>
      <c r="D34" s="4" t="s">
        <v>132</v>
      </c>
      <c r="E34" s="16" t="s">
        <v>133</v>
      </c>
      <c r="F34" s="4" t="s">
        <v>925</v>
      </c>
      <c r="G34" s="16" t="s">
        <v>16</v>
      </c>
      <c r="H34" s="4" t="s">
        <v>12</v>
      </c>
      <c r="I34" s="4">
        <v>3145021248</v>
      </c>
      <c r="J34" s="17" t="s">
        <v>134</v>
      </c>
      <c r="K34" s="5" t="s">
        <v>771</v>
      </c>
      <c r="L34" s="4" t="s">
        <v>686</v>
      </c>
      <c r="M34" s="16" t="s">
        <v>133</v>
      </c>
      <c r="N34" s="20" t="s">
        <v>926</v>
      </c>
      <c r="O34" s="5">
        <v>193</v>
      </c>
      <c r="P34" s="36">
        <v>100000</v>
      </c>
      <c r="Q34" s="5"/>
      <c r="R34" s="5"/>
    </row>
    <row r="35" spans="2:18" s="2" customFormat="1" ht="110.4" x14ac:dyDescent="0.3">
      <c r="B35" s="4">
        <v>33</v>
      </c>
      <c r="C35" s="16">
        <v>975</v>
      </c>
      <c r="D35" s="4" t="s">
        <v>135</v>
      </c>
      <c r="E35" s="19" t="s">
        <v>136</v>
      </c>
      <c r="F35" s="4"/>
      <c r="G35" s="16" t="s">
        <v>110</v>
      </c>
      <c r="H35" s="19" t="s">
        <v>139</v>
      </c>
      <c r="I35" s="19"/>
      <c r="J35" s="9" t="s">
        <v>140</v>
      </c>
      <c r="K35" s="5" t="s">
        <v>772</v>
      </c>
      <c r="L35" s="4" t="s">
        <v>686</v>
      </c>
      <c r="M35" s="19" t="s">
        <v>136</v>
      </c>
      <c r="N35" s="20" t="s">
        <v>938</v>
      </c>
      <c r="O35" s="5">
        <v>3</v>
      </c>
      <c r="P35" s="36">
        <v>60000</v>
      </c>
      <c r="Q35" s="5"/>
      <c r="R35" s="5"/>
    </row>
    <row r="36" spans="2:18" s="2" customFormat="1" ht="13.8" x14ac:dyDescent="0.3">
      <c r="B36" s="4">
        <v>34</v>
      </c>
      <c r="C36" s="30">
        <v>243122</v>
      </c>
      <c r="D36" s="48" t="s">
        <v>141</v>
      </c>
      <c r="E36" s="31" t="s">
        <v>142</v>
      </c>
      <c r="F36" s="30"/>
      <c r="G36" s="30"/>
      <c r="H36" s="30"/>
      <c r="I36" s="30" t="s">
        <v>145</v>
      </c>
      <c r="J36" s="17" t="s">
        <v>146</v>
      </c>
      <c r="K36" s="5" t="s">
        <v>773</v>
      </c>
      <c r="L36" s="30"/>
      <c r="M36" s="5"/>
      <c r="N36" s="5"/>
      <c r="O36" s="5"/>
      <c r="P36" s="5"/>
      <c r="Q36" s="5"/>
      <c r="R36" s="5"/>
    </row>
    <row r="37" spans="2:18" s="2" customFormat="1" ht="27.6" x14ac:dyDescent="0.3">
      <c r="B37" s="4">
        <v>35</v>
      </c>
      <c r="C37" s="16">
        <v>1102</v>
      </c>
      <c r="D37" s="42" t="s">
        <v>147</v>
      </c>
      <c r="E37" s="19" t="s">
        <v>148</v>
      </c>
      <c r="F37" s="4"/>
      <c r="G37" s="16" t="s">
        <v>110</v>
      </c>
      <c r="H37" s="19">
        <v>616514236</v>
      </c>
      <c r="I37" s="19"/>
      <c r="J37" s="9" t="s">
        <v>149</v>
      </c>
      <c r="K37" s="5" t="s">
        <v>774</v>
      </c>
      <c r="L37" s="4"/>
      <c r="M37" s="5"/>
      <c r="N37" s="5"/>
      <c r="O37" s="5"/>
      <c r="P37" s="5"/>
      <c r="Q37" s="5"/>
      <c r="R37" s="5"/>
    </row>
    <row r="38" spans="2:18" s="2" customFormat="1" ht="13.8" x14ac:dyDescent="0.3">
      <c r="B38" s="4">
        <v>36</v>
      </c>
      <c r="C38" s="16">
        <v>815</v>
      </c>
      <c r="D38" s="42" t="s">
        <v>150</v>
      </c>
      <c r="E38" s="19" t="s">
        <v>151</v>
      </c>
      <c r="F38" s="4"/>
      <c r="G38" s="16" t="s">
        <v>16</v>
      </c>
      <c r="H38" s="19" t="s">
        <v>152</v>
      </c>
      <c r="I38" s="19"/>
      <c r="J38" s="9" t="s">
        <v>153</v>
      </c>
      <c r="K38" s="5" t="s">
        <v>775</v>
      </c>
      <c r="L38" s="4"/>
      <c r="M38" s="5"/>
      <c r="N38" s="5"/>
      <c r="O38" s="5"/>
      <c r="P38" s="5"/>
      <c r="Q38" s="5"/>
      <c r="R38" s="5"/>
    </row>
    <row r="39" spans="2:18" s="2" customFormat="1" ht="55.2" x14ac:dyDescent="0.3">
      <c r="B39" s="4">
        <v>37</v>
      </c>
      <c r="C39" s="16">
        <v>685</v>
      </c>
      <c r="D39" s="4" t="s">
        <v>154</v>
      </c>
      <c r="E39" s="19" t="s">
        <v>155</v>
      </c>
      <c r="F39" s="4">
        <v>709887</v>
      </c>
      <c r="G39" s="16" t="s">
        <v>16</v>
      </c>
      <c r="H39" s="19" t="s">
        <v>156</v>
      </c>
      <c r="I39" s="19" t="s">
        <v>941</v>
      </c>
      <c r="J39" s="52" t="s">
        <v>940</v>
      </c>
      <c r="K39" s="5" t="s">
        <v>776</v>
      </c>
      <c r="L39" s="4" t="s">
        <v>942</v>
      </c>
      <c r="M39" s="19" t="s">
        <v>155</v>
      </c>
      <c r="N39" s="20" t="s">
        <v>949</v>
      </c>
      <c r="O39" s="5"/>
      <c r="P39" s="36">
        <v>50000</v>
      </c>
      <c r="Q39" s="5"/>
      <c r="R39" s="5"/>
    </row>
    <row r="40" spans="2:18" s="2" customFormat="1" ht="27.6" x14ac:dyDescent="0.3">
      <c r="B40" s="4">
        <v>38</v>
      </c>
      <c r="C40" s="16">
        <v>1076</v>
      </c>
      <c r="D40" s="42" t="s">
        <v>157</v>
      </c>
      <c r="E40" s="19" t="s">
        <v>158</v>
      </c>
      <c r="F40" s="4"/>
      <c r="G40" s="16" t="s">
        <v>16</v>
      </c>
      <c r="H40" s="19" t="s">
        <v>159</v>
      </c>
      <c r="I40" s="19"/>
      <c r="J40" s="19" t="s">
        <v>160</v>
      </c>
      <c r="K40" s="5" t="s">
        <v>777</v>
      </c>
      <c r="L40" s="4"/>
      <c r="M40" s="5"/>
      <c r="N40" s="5"/>
      <c r="O40" s="5"/>
      <c r="P40" s="5"/>
      <c r="Q40" s="5"/>
      <c r="R40" s="5"/>
    </row>
    <row r="41" spans="2:18" s="2" customFormat="1" ht="27.6" x14ac:dyDescent="0.3">
      <c r="B41" s="4">
        <v>39</v>
      </c>
      <c r="C41" s="16">
        <v>1027</v>
      </c>
      <c r="D41" s="42" t="s">
        <v>161</v>
      </c>
      <c r="E41" s="19" t="s">
        <v>162</v>
      </c>
      <c r="F41" s="4"/>
      <c r="G41" s="16" t="s">
        <v>16</v>
      </c>
      <c r="H41" s="19" t="s">
        <v>163</v>
      </c>
      <c r="I41" s="19"/>
      <c r="J41" s="19" t="s">
        <v>114</v>
      </c>
      <c r="K41" s="5" t="s">
        <v>778</v>
      </c>
      <c r="L41" s="4"/>
      <c r="M41" s="5"/>
      <c r="N41" s="5"/>
      <c r="O41" s="5"/>
      <c r="P41" s="5"/>
      <c r="Q41" s="5"/>
      <c r="R41" s="5"/>
    </row>
    <row r="42" spans="2:18" s="2" customFormat="1" ht="13.8" x14ac:dyDescent="0.3">
      <c r="B42" s="4">
        <v>40</v>
      </c>
      <c r="C42" s="30">
        <v>794</v>
      </c>
      <c r="D42" s="48" t="s">
        <v>164</v>
      </c>
      <c r="E42" s="31" t="s">
        <v>165</v>
      </c>
      <c r="F42" s="30"/>
      <c r="G42" s="30"/>
      <c r="H42" s="30" t="s">
        <v>139</v>
      </c>
      <c r="I42" s="30" t="s">
        <v>12</v>
      </c>
      <c r="J42" s="17" t="s">
        <v>166</v>
      </c>
      <c r="K42" s="5" t="s">
        <v>779</v>
      </c>
      <c r="L42" s="30"/>
      <c r="M42" s="5"/>
      <c r="N42" s="5"/>
      <c r="O42" s="5"/>
      <c r="P42" s="5"/>
      <c r="Q42" s="5"/>
      <c r="R42" s="5"/>
    </row>
    <row r="43" spans="2:18" s="2" customFormat="1" ht="41.4" x14ac:dyDescent="0.3">
      <c r="B43" s="4">
        <v>41</v>
      </c>
      <c r="C43" s="16">
        <v>964</v>
      </c>
      <c r="D43" s="42" t="s">
        <v>167</v>
      </c>
      <c r="E43" s="19" t="s">
        <v>168</v>
      </c>
      <c r="F43" s="4"/>
      <c r="G43" s="16" t="s">
        <v>16</v>
      </c>
      <c r="H43" s="19">
        <v>34527687</v>
      </c>
      <c r="I43" s="19"/>
      <c r="J43" s="9" t="s">
        <v>169</v>
      </c>
      <c r="K43" s="5" t="s">
        <v>780</v>
      </c>
      <c r="L43" s="4"/>
      <c r="M43" s="5"/>
      <c r="N43" s="5"/>
      <c r="O43" s="5"/>
      <c r="P43" s="5"/>
      <c r="Q43" s="5"/>
      <c r="R43" s="5"/>
    </row>
    <row r="44" spans="2:18" s="2" customFormat="1" ht="27.6" x14ac:dyDescent="0.3">
      <c r="B44" s="4">
        <v>42</v>
      </c>
      <c r="C44" s="16">
        <v>1036</v>
      </c>
      <c r="D44" s="42" t="s">
        <v>170</v>
      </c>
      <c r="E44" s="19" t="s">
        <v>171</v>
      </c>
      <c r="F44" s="4"/>
      <c r="G44" s="16" t="s">
        <v>16</v>
      </c>
      <c r="H44" s="19"/>
      <c r="I44" s="19"/>
      <c r="J44" s="9" t="s">
        <v>172</v>
      </c>
      <c r="K44" s="5" t="s">
        <v>781</v>
      </c>
      <c r="L44" s="4"/>
      <c r="M44" s="5"/>
      <c r="N44" s="5"/>
      <c r="O44" s="5"/>
      <c r="P44" s="5"/>
      <c r="Q44" s="5"/>
      <c r="R44" s="5"/>
    </row>
    <row r="45" spans="2:18" s="2" customFormat="1" ht="62.25" customHeight="1" x14ac:dyDescent="0.3">
      <c r="B45" s="4">
        <v>43</v>
      </c>
      <c r="C45" s="16">
        <v>1082</v>
      </c>
      <c r="D45" s="4" t="s">
        <v>173</v>
      </c>
      <c r="E45" s="19" t="s">
        <v>174</v>
      </c>
      <c r="F45" s="4">
        <v>7569432</v>
      </c>
      <c r="G45" s="16" t="s">
        <v>16</v>
      </c>
      <c r="H45" s="19" t="s">
        <v>175</v>
      </c>
      <c r="I45" s="19" t="s">
        <v>951</v>
      </c>
      <c r="J45" s="9" t="s">
        <v>176</v>
      </c>
      <c r="K45" s="5" t="s">
        <v>782</v>
      </c>
      <c r="L45" s="4" t="s">
        <v>686</v>
      </c>
      <c r="M45" s="19" t="s">
        <v>174</v>
      </c>
      <c r="N45" s="20" t="s">
        <v>952</v>
      </c>
      <c r="O45" s="5">
        <v>48</v>
      </c>
      <c r="P45" s="36">
        <v>50000</v>
      </c>
      <c r="Q45" s="5"/>
      <c r="R45" s="5"/>
    </row>
    <row r="46" spans="2:18" s="2" customFormat="1" ht="41.4" x14ac:dyDescent="0.3">
      <c r="B46" s="4"/>
      <c r="C46" s="16"/>
      <c r="D46" s="4" t="s">
        <v>964</v>
      </c>
      <c r="E46" s="19" t="s">
        <v>965</v>
      </c>
      <c r="F46" s="4">
        <v>4820624</v>
      </c>
      <c r="G46" s="16" t="s">
        <v>966</v>
      </c>
      <c r="H46" s="19"/>
      <c r="I46" s="19" t="s">
        <v>974</v>
      </c>
      <c r="J46" s="23" t="s">
        <v>967</v>
      </c>
      <c r="K46" s="53">
        <v>46640</v>
      </c>
      <c r="L46" s="4" t="s">
        <v>686</v>
      </c>
      <c r="M46" s="19" t="s">
        <v>965</v>
      </c>
      <c r="N46" s="20" t="s">
        <v>975</v>
      </c>
      <c r="O46" s="5">
        <v>17</v>
      </c>
      <c r="P46" s="36">
        <v>100000</v>
      </c>
      <c r="Q46" s="5"/>
      <c r="R46" s="5"/>
    </row>
    <row r="47" spans="2:18" s="2" customFormat="1" ht="27.6" x14ac:dyDescent="0.3">
      <c r="B47" s="4">
        <v>45</v>
      </c>
      <c r="C47" s="30">
        <v>5962866</v>
      </c>
      <c r="D47" s="30" t="s">
        <v>180</v>
      </c>
      <c r="E47" s="31" t="s">
        <v>181</v>
      </c>
      <c r="F47" s="30">
        <v>5962866</v>
      </c>
      <c r="G47" s="30" t="s">
        <v>959</v>
      </c>
      <c r="H47" s="30" t="s">
        <v>12</v>
      </c>
      <c r="I47" s="30" t="s">
        <v>184</v>
      </c>
      <c r="J47" s="14" t="s">
        <v>12</v>
      </c>
      <c r="K47" s="5" t="s">
        <v>783</v>
      </c>
      <c r="L47" s="30" t="s">
        <v>686</v>
      </c>
      <c r="M47" s="31" t="s">
        <v>181</v>
      </c>
      <c r="N47" s="20" t="s">
        <v>960</v>
      </c>
      <c r="O47" s="5">
        <v>10</v>
      </c>
      <c r="P47" s="36">
        <v>100000</v>
      </c>
      <c r="Q47" s="5"/>
      <c r="R47" s="5"/>
    </row>
    <row r="48" spans="2:18" s="2" customFormat="1" ht="13.8" x14ac:dyDescent="0.3">
      <c r="B48" s="4">
        <v>46</v>
      </c>
      <c r="C48" s="16">
        <v>227629</v>
      </c>
      <c r="D48" s="42" t="s">
        <v>185</v>
      </c>
      <c r="E48" s="16" t="s">
        <v>186</v>
      </c>
      <c r="F48" s="4"/>
      <c r="G48" s="16" t="s">
        <v>16</v>
      </c>
      <c r="H48" s="4" t="s">
        <v>187</v>
      </c>
      <c r="I48" s="4"/>
      <c r="J48" s="17" t="s">
        <v>188</v>
      </c>
      <c r="K48" s="5" t="s">
        <v>758</v>
      </c>
      <c r="L48" s="4"/>
      <c r="M48" s="5"/>
      <c r="N48" s="5"/>
      <c r="O48" s="5"/>
      <c r="P48" s="5"/>
      <c r="Q48" s="5"/>
      <c r="R48" s="5"/>
    </row>
    <row r="49" spans="1:19" s="2" customFormat="1" ht="13.8" x14ac:dyDescent="0.3">
      <c r="B49" s="4">
        <v>47</v>
      </c>
      <c r="C49" s="30">
        <v>3428</v>
      </c>
      <c r="D49" s="48" t="s">
        <v>189</v>
      </c>
      <c r="E49" s="31" t="s">
        <v>190</v>
      </c>
      <c r="F49" s="30"/>
      <c r="G49" s="30"/>
      <c r="H49" s="30" t="s">
        <v>193</v>
      </c>
      <c r="I49" s="30" t="s">
        <v>12</v>
      </c>
      <c r="J49" s="14" t="s">
        <v>12</v>
      </c>
      <c r="K49" s="5" t="s">
        <v>784</v>
      </c>
      <c r="L49" s="30"/>
      <c r="M49" s="5"/>
      <c r="N49" s="5"/>
      <c r="O49" s="5"/>
      <c r="P49" s="5"/>
      <c r="Q49" s="5"/>
      <c r="R49" s="5"/>
    </row>
    <row r="50" spans="1:19" s="2" customFormat="1" ht="27.6" x14ac:dyDescent="0.3">
      <c r="B50" s="4">
        <v>48</v>
      </c>
      <c r="C50" s="16">
        <v>568</v>
      </c>
      <c r="D50" s="42" t="s">
        <v>194</v>
      </c>
      <c r="E50" s="19" t="s">
        <v>195</v>
      </c>
      <c r="F50" s="4"/>
      <c r="G50" s="16" t="s">
        <v>16</v>
      </c>
      <c r="H50" s="19" t="s">
        <v>196</v>
      </c>
      <c r="I50" s="19"/>
      <c r="J50" s="9" t="s">
        <v>197</v>
      </c>
      <c r="K50" s="5" t="s">
        <v>785</v>
      </c>
      <c r="L50" s="4"/>
      <c r="M50" s="5"/>
      <c r="N50" s="5"/>
      <c r="O50" s="5"/>
      <c r="P50" s="5"/>
      <c r="Q50" s="5"/>
      <c r="R50" s="5"/>
    </row>
    <row r="51" spans="1:19" s="2" customFormat="1" ht="96.6" x14ac:dyDescent="0.3">
      <c r="B51" s="4">
        <v>49</v>
      </c>
      <c r="C51" s="16">
        <v>673</v>
      </c>
      <c r="D51" s="4" t="s">
        <v>198</v>
      </c>
      <c r="E51" s="19" t="s">
        <v>199</v>
      </c>
      <c r="F51" s="4" t="s">
        <v>978</v>
      </c>
      <c r="G51" s="16" t="s">
        <v>110</v>
      </c>
      <c r="H51" s="19" t="s">
        <v>107</v>
      </c>
      <c r="I51" s="19" t="s">
        <v>108</v>
      </c>
      <c r="J51" s="9" t="s">
        <v>109</v>
      </c>
      <c r="K51" s="5" t="s">
        <v>786</v>
      </c>
      <c r="L51" s="4" t="s">
        <v>686</v>
      </c>
      <c r="M51" s="19" t="s">
        <v>199</v>
      </c>
      <c r="N51" s="20" t="s">
        <v>979</v>
      </c>
      <c r="O51" s="5">
        <v>390</v>
      </c>
      <c r="P51" s="36">
        <v>50000</v>
      </c>
      <c r="Q51" s="5"/>
      <c r="R51" s="5"/>
    </row>
    <row r="52" spans="1:19" s="2" customFormat="1" ht="38.25" customHeight="1" x14ac:dyDescent="0.3">
      <c r="B52" s="4">
        <v>50</v>
      </c>
      <c r="C52" s="30" t="s">
        <v>204</v>
      </c>
      <c r="D52" s="30" t="s">
        <v>200</v>
      </c>
      <c r="E52" s="31" t="s">
        <v>201</v>
      </c>
      <c r="F52" s="30">
        <v>9799865</v>
      </c>
      <c r="G52" s="30" t="s">
        <v>987</v>
      </c>
      <c r="H52" s="30" t="s">
        <v>12</v>
      </c>
      <c r="I52" s="30" t="s">
        <v>205</v>
      </c>
      <c r="J52" s="14" t="s">
        <v>12</v>
      </c>
      <c r="K52" s="5" t="s">
        <v>787</v>
      </c>
      <c r="L52" s="30" t="s">
        <v>686</v>
      </c>
      <c r="M52" s="20" t="s">
        <v>988</v>
      </c>
      <c r="N52" s="20" t="s">
        <v>992</v>
      </c>
      <c r="O52" s="5">
        <v>158</v>
      </c>
      <c r="P52" s="36">
        <v>100000</v>
      </c>
      <c r="Q52" s="5"/>
      <c r="R52" s="5"/>
    </row>
    <row r="53" spans="1:19" s="2" customFormat="1" ht="82.8" x14ac:dyDescent="0.3">
      <c r="B53" s="4">
        <v>51</v>
      </c>
      <c r="C53" s="16">
        <v>1107</v>
      </c>
      <c r="D53" s="4" t="s">
        <v>206</v>
      </c>
      <c r="E53" s="19" t="s">
        <v>207</v>
      </c>
      <c r="F53" s="4" t="s">
        <v>995</v>
      </c>
      <c r="G53" s="16" t="s">
        <v>110</v>
      </c>
      <c r="H53" s="19" t="s">
        <v>208</v>
      </c>
      <c r="I53" s="19" t="s">
        <v>209</v>
      </c>
      <c r="J53" s="9" t="s">
        <v>210</v>
      </c>
      <c r="K53" s="5" t="s">
        <v>788</v>
      </c>
      <c r="L53" s="4" t="s">
        <v>942</v>
      </c>
      <c r="M53" s="20" t="s">
        <v>994</v>
      </c>
      <c r="N53" s="20" t="s">
        <v>1000</v>
      </c>
      <c r="O53" s="5">
        <v>66</v>
      </c>
      <c r="P53" s="36">
        <v>30000</v>
      </c>
      <c r="Q53" s="5"/>
      <c r="R53" s="5"/>
    </row>
    <row r="54" spans="1:19" s="2" customFormat="1" ht="27.6" x14ac:dyDescent="0.3">
      <c r="B54" s="4">
        <v>52</v>
      </c>
      <c r="C54" s="16">
        <v>748</v>
      </c>
      <c r="D54" s="42" t="s">
        <v>211</v>
      </c>
      <c r="E54" s="19" t="s">
        <v>212</v>
      </c>
      <c r="F54" s="4"/>
      <c r="G54" s="16" t="s">
        <v>16</v>
      </c>
      <c r="H54" s="16"/>
      <c r="I54" s="16"/>
      <c r="J54" s="16"/>
      <c r="K54" s="5" t="s">
        <v>755</v>
      </c>
      <c r="L54" s="4"/>
      <c r="M54" s="5"/>
      <c r="N54" s="5"/>
      <c r="O54" s="5"/>
      <c r="P54" s="5"/>
      <c r="Q54" s="5"/>
      <c r="R54" s="5"/>
    </row>
    <row r="55" spans="1:19" s="2" customFormat="1" ht="27.6" x14ac:dyDescent="0.3">
      <c r="B55" s="4">
        <v>53</v>
      </c>
      <c r="C55" s="16" t="s">
        <v>215</v>
      </c>
      <c r="D55" s="42" t="s">
        <v>213</v>
      </c>
      <c r="E55" s="16" t="s">
        <v>214</v>
      </c>
      <c r="F55" s="4" t="s">
        <v>1005</v>
      </c>
      <c r="G55" s="16" t="s">
        <v>1003</v>
      </c>
      <c r="H55" s="4" t="s">
        <v>216</v>
      </c>
      <c r="I55" s="16" t="s">
        <v>1004</v>
      </c>
      <c r="J55" s="4"/>
      <c r="K55" s="5" t="s">
        <v>789</v>
      </c>
      <c r="L55" s="4" t="s">
        <v>1007</v>
      </c>
      <c r="M55" s="16" t="s">
        <v>214</v>
      </c>
      <c r="N55" s="5" t="s">
        <v>12</v>
      </c>
      <c r="O55" s="5">
        <v>192</v>
      </c>
      <c r="P55" s="36">
        <v>100000</v>
      </c>
      <c r="Q55" s="5"/>
      <c r="R55" s="5"/>
    </row>
    <row r="56" spans="1:19" s="2" customFormat="1" ht="41.4" x14ac:dyDescent="0.3">
      <c r="B56" s="4">
        <v>54</v>
      </c>
      <c r="C56" s="16" t="s">
        <v>219</v>
      </c>
      <c r="D56" s="42" t="s">
        <v>217</v>
      </c>
      <c r="E56" s="16" t="s">
        <v>218</v>
      </c>
      <c r="F56" s="4">
        <v>5320263661093</v>
      </c>
      <c r="G56" s="16" t="s">
        <v>16</v>
      </c>
      <c r="H56" s="4"/>
      <c r="I56" s="4">
        <v>3113747230</v>
      </c>
      <c r="J56" s="17" t="s">
        <v>220</v>
      </c>
      <c r="K56" s="5" t="s">
        <v>790</v>
      </c>
      <c r="L56" s="4" t="s">
        <v>686</v>
      </c>
      <c r="M56" s="16" t="s">
        <v>218</v>
      </c>
      <c r="N56" s="5"/>
      <c r="O56" s="5"/>
      <c r="P56" s="5"/>
      <c r="Q56" s="5"/>
      <c r="R56" s="5"/>
    </row>
    <row r="57" spans="1:19" s="2" customFormat="1" ht="96.6" x14ac:dyDescent="0.3">
      <c r="A57" s="63" t="s">
        <v>1462</v>
      </c>
      <c r="B57" s="4">
        <v>55</v>
      </c>
      <c r="C57" s="16">
        <v>1104</v>
      </c>
      <c r="D57" s="4" t="s">
        <v>221</v>
      </c>
      <c r="E57" s="19" t="s">
        <v>222</v>
      </c>
      <c r="F57" s="4">
        <v>5572511</v>
      </c>
      <c r="G57" s="16" t="s">
        <v>110</v>
      </c>
      <c r="H57" s="18" t="s">
        <v>223</v>
      </c>
      <c r="I57" s="18" t="s">
        <v>224</v>
      </c>
      <c r="J57" s="17" t="s">
        <v>225</v>
      </c>
      <c r="K57" s="5" t="s">
        <v>791</v>
      </c>
      <c r="L57" s="4" t="s">
        <v>686</v>
      </c>
      <c r="M57" s="19" t="s">
        <v>222</v>
      </c>
      <c r="N57" s="20" t="s">
        <v>1009</v>
      </c>
      <c r="O57" s="5">
        <v>240</v>
      </c>
      <c r="P57" s="36">
        <v>50000</v>
      </c>
      <c r="Q57" s="5"/>
      <c r="R57" s="5"/>
      <c r="S57" s="63" t="s">
        <v>1460</v>
      </c>
    </row>
    <row r="58" spans="1:19" s="2" customFormat="1" ht="13.8" x14ac:dyDescent="0.3">
      <c r="B58" s="4">
        <v>56</v>
      </c>
      <c r="C58" s="16">
        <v>124681</v>
      </c>
      <c r="D58" s="42" t="s">
        <v>226</v>
      </c>
      <c r="E58" s="16"/>
      <c r="F58" s="4"/>
      <c r="G58" s="16" t="s">
        <v>16</v>
      </c>
      <c r="H58" s="4"/>
      <c r="I58" s="4"/>
      <c r="J58" s="4"/>
      <c r="K58" s="5" t="s">
        <v>792</v>
      </c>
      <c r="L58" s="4"/>
      <c r="M58" s="5"/>
      <c r="N58" s="5"/>
      <c r="O58" s="5"/>
      <c r="P58" s="5"/>
      <c r="Q58" s="5"/>
      <c r="R58" s="5"/>
    </row>
    <row r="59" spans="1:19" s="2" customFormat="1" ht="124.2" x14ac:dyDescent="0.3">
      <c r="A59" s="63" t="s">
        <v>1461</v>
      </c>
      <c r="B59" s="4">
        <v>57</v>
      </c>
      <c r="C59" s="16">
        <v>821</v>
      </c>
      <c r="D59" s="4" t="s">
        <v>227</v>
      </c>
      <c r="E59" s="19" t="s">
        <v>228</v>
      </c>
      <c r="F59" s="4">
        <v>1329217</v>
      </c>
      <c r="G59" s="16" t="s">
        <v>16</v>
      </c>
      <c r="H59" s="19" t="s">
        <v>229</v>
      </c>
      <c r="I59" s="19" t="s">
        <v>1017</v>
      </c>
      <c r="J59" s="52" t="s">
        <v>1018</v>
      </c>
      <c r="K59" s="5" t="s">
        <v>793</v>
      </c>
      <c r="L59" s="4" t="s">
        <v>942</v>
      </c>
      <c r="M59" s="19" t="s">
        <v>228</v>
      </c>
      <c r="N59" s="20" t="s">
        <v>1019</v>
      </c>
      <c r="O59" s="5">
        <f>65000+80000</f>
        <v>145000</v>
      </c>
      <c r="P59" s="5"/>
      <c r="Q59" s="5"/>
      <c r="R59" s="5"/>
      <c r="S59" s="63" t="s">
        <v>1463</v>
      </c>
    </row>
    <row r="60" spans="1:19" s="2" customFormat="1" ht="110.4" x14ac:dyDescent="0.3">
      <c r="B60" s="4">
        <v>58</v>
      </c>
      <c r="C60" s="16">
        <v>8255023</v>
      </c>
      <c r="D60" s="4" t="s">
        <v>230</v>
      </c>
      <c r="E60" s="16" t="s">
        <v>231</v>
      </c>
      <c r="F60" s="4">
        <v>8255023</v>
      </c>
      <c r="G60" s="16" t="s">
        <v>16</v>
      </c>
      <c r="H60" s="4"/>
      <c r="I60" s="4">
        <v>3028670437</v>
      </c>
      <c r="J60" s="17" t="s">
        <v>232</v>
      </c>
      <c r="K60" s="5" t="s">
        <v>771</v>
      </c>
      <c r="L60" s="4" t="s">
        <v>686</v>
      </c>
      <c r="M60" s="16" t="s">
        <v>231</v>
      </c>
      <c r="N60" s="20" t="s">
        <v>1024</v>
      </c>
      <c r="O60" s="5">
        <v>11</v>
      </c>
      <c r="P60" s="36">
        <v>100000</v>
      </c>
      <c r="Q60" s="5"/>
      <c r="R60" s="5"/>
    </row>
    <row r="61" spans="1:19" s="2" customFormat="1" ht="27.6" x14ac:dyDescent="0.3">
      <c r="B61" s="4">
        <v>59</v>
      </c>
      <c r="C61" s="30" t="s">
        <v>237</v>
      </c>
      <c r="D61" s="30" t="s">
        <v>233</v>
      </c>
      <c r="E61" s="31" t="s">
        <v>234</v>
      </c>
      <c r="F61" s="30">
        <v>4433426</v>
      </c>
      <c r="G61" s="30" t="s">
        <v>1030</v>
      </c>
      <c r="H61" s="30" t="s">
        <v>238</v>
      </c>
      <c r="I61" s="30" t="s">
        <v>239</v>
      </c>
      <c r="J61" s="50" t="s">
        <v>1031</v>
      </c>
      <c r="K61" s="5" t="s">
        <v>794</v>
      </c>
      <c r="L61" s="30"/>
      <c r="M61" s="31" t="s">
        <v>234</v>
      </c>
      <c r="N61" s="5"/>
      <c r="O61" s="5">
        <v>81</v>
      </c>
      <c r="P61" s="36">
        <v>100000</v>
      </c>
      <c r="Q61" s="5"/>
      <c r="R61" s="5"/>
    </row>
    <row r="62" spans="1:19" s="2" customFormat="1" ht="69" x14ac:dyDescent="0.3">
      <c r="B62" s="4">
        <v>60</v>
      </c>
      <c r="C62" s="16">
        <v>728</v>
      </c>
      <c r="D62" s="4" t="s">
        <v>240</v>
      </c>
      <c r="E62" s="19" t="s">
        <v>241</v>
      </c>
      <c r="F62" s="4" t="s">
        <v>1037</v>
      </c>
      <c r="G62" s="16" t="s">
        <v>110</v>
      </c>
      <c r="H62" s="19" t="s">
        <v>242</v>
      </c>
      <c r="I62" s="19"/>
      <c r="J62" s="9" t="s">
        <v>243</v>
      </c>
      <c r="K62" s="5" t="s">
        <v>795</v>
      </c>
      <c r="L62" s="4" t="s">
        <v>686</v>
      </c>
      <c r="M62" s="19" t="s">
        <v>241</v>
      </c>
      <c r="N62" s="20" t="s">
        <v>1044</v>
      </c>
      <c r="O62" s="5"/>
      <c r="P62" s="5"/>
      <c r="Q62" s="5"/>
      <c r="R62" s="5"/>
      <c r="S62" s="91" t="s">
        <v>1465</v>
      </c>
    </row>
    <row r="63" spans="1:19" s="2" customFormat="1" ht="27.6" x14ac:dyDescent="0.3">
      <c r="B63" s="4">
        <v>61</v>
      </c>
      <c r="C63" s="16">
        <v>0</v>
      </c>
      <c r="D63" s="42" t="s">
        <v>244</v>
      </c>
      <c r="E63" s="19" t="s">
        <v>245</v>
      </c>
      <c r="F63" s="4"/>
      <c r="G63" s="16" t="s">
        <v>60</v>
      </c>
      <c r="H63" s="18" t="s">
        <v>242</v>
      </c>
      <c r="I63" s="18"/>
      <c r="J63" s="17" t="s">
        <v>243</v>
      </c>
      <c r="K63" s="5" t="s">
        <v>760</v>
      </c>
      <c r="L63" s="4"/>
      <c r="M63" s="5"/>
      <c r="N63" s="5"/>
      <c r="O63" s="5"/>
      <c r="P63" s="5"/>
      <c r="Q63" s="5"/>
      <c r="R63" s="5"/>
      <c r="S63" s="91"/>
    </row>
    <row r="64" spans="1:19" s="2" customFormat="1" ht="151.80000000000001" x14ac:dyDescent="0.3">
      <c r="A64" s="63" t="s">
        <v>1464</v>
      </c>
      <c r="B64" s="4">
        <v>62</v>
      </c>
      <c r="C64" s="16">
        <v>783</v>
      </c>
      <c r="D64" s="4" t="s">
        <v>246</v>
      </c>
      <c r="E64" s="19" t="s">
        <v>247</v>
      </c>
      <c r="F64" s="4" t="s">
        <v>1046</v>
      </c>
      <c r="G64" s="16" t="s">
        <v>110</v>
      </c>
      <c r="H64" s="19" t="s">
        <v>248</v>
      </c>
      <c r="I64" s="19"/>
      <c r="J64" s="9" t="s">
        <v>243</v>
      </c>
      <c r="K64" s="5" t="s">
        <v>796</v>
      </c>
      <c r="L64" s="4" t="s">
        <v>686</v>
      </c>
      <c r="M64" s="19" t="s">
        <v>247</v>
      </c>
      <c r="N64" s="20" t="s">
        <v>1051</v>
      </c>
      <c r="O64" s="5">
        <v>65</v>
      </c>
      <c r="P64" s="36">
        <v>50000</v>
      </c>
      <c r="Q64" s="5"/>
      <c r="R64" s="5"/>
      <c r="S64" s="91"/>
    </row>
    <row r="65" spans="1:19" s="2" customFormat="1" ht="27.6" x14ac:dyDescent="0.3">
      <c r="B65" s="4">
        <v>63</v>
      </c>
      <c r="C65" s="16">
        <v>1057</v>
      </c>
      <c r="D65" s="42" t="s">
        <v>249</v>
      </c>
      <c r="E65" s="19" t="s">
        <v>250</v>
      </c>
      <c r="F65" s="4"/>
      <c r="G65" s="16" t="s">
        <v>16</v>
      </c>
      <c r="H65" s="19" t="s">
        <v>251</v>
      </c>
      <c r="I65" s="19"/>
      <c r="J65" s="19"/>
      <c r="K65" s="5" t="s">
        <v>797</v>
      </c>
      <c r="L65" s="4"/>
      <c r="M65" s="5"/>
      <c r="N65" s="5"/>
      <c r="O65" s="5"/>
      <c r="P65" s="5"/>
      <c r="Q65" s="5"/>
      <c r="R65" s="5"/>
    </row>
    <row r="66" spans="1:19" s="2" customFormat="1" ht="27.6" x14ac:dyDescent="0.3">
      <c r="B66" s="4">
        <v>64</v>
      </c>
      <c r="C66" s="30" t="s">
        <v>256</v>
      </c>
      <c r="D66" s="48" t="s">
        <v>252</v>
      </c>
      <c r="E66" s="31" t="s">
        <v>253</v>
      </c>
      <c r="F66" s="30"/>
      <c r="G66" s="30"/>
      <c r="H66" s="30" t="s">
        <v>257</v>
      </c>
      <c r="I66" s="30"/>
      <c r="J66" s="17" t="s">
        <v>258</v>
      </c>
      <c r="K66" s="5" t="s">
        <v>761</v>
      </c>
      <c r="L66" s="30"/>
      <c r="M66" s="5"/>
      <c r="N66" s="5"/>
      <c r="O66" s="5"/>
      <c r="P66" s="5"/>
      <c r="Q66" s="5"/>
      <c r="R66" s="5"/>
    </row>
    <row r="67" spans="1:19" s="2" customFormat="1" ht="27.6" x14ac:dyDescent="0.3">
      <c r="B67" s="4">
        <v>65</v>
      </c>
      <c r="C67" s="16">
        <v>923</v>
      </c>
      <c r="D67" s="42" t="s">
        <v>259</v>
      </c>
      <c r="E67" s="19" t="s">
        <v>260</v>
      </c>
      <c r="F67" s="4"/>
      <c r="G67" s="16" t="s">
        <v>16</v>
      </c>
      <c r="H67" s="19" t="s">
        <v>261</v>
      </c>
      <c r="I67" s="19"/>
      <c r="J67" s="19" t="s">
        <v>114</v>
      </c>
      <c r="K67" s="5" t="s">
        <v>798</v>
      </c>
      <c r="L67" s="4"/>
      <c r="M67" s="5"/>
      <c r="N67" s="5"/>
      <c r="O67" s="5"/>
      <c r="P67" s="5"/>
      <c r="Q67" s="5"/>
      <c r="R67" s="5"/>
    </row>
    <row r="68" spans="1:19" s="2" customFormat="1" ht="27.6" x14ac:dyDescent="0.3">
      <c r="B68" s="4">
        <v>66</v>
      </c>
      <c r="C68" s="30" t="s">
        <v>266</v>
      </c>
      <c r="D68" s="30" t="s">
        <v>262</v>
      </c>
      <c r="E68" s="31" t="s">
        <v>263</v>
      </c>
      <c r="F68" s="34">
        <v>4130394292921</v>
      </c>
      <c r="G68" s="30" t="s">
        <v>1055</v>
      </c>
      <c r="H68" s="30" t="s">
        <v>267</v>
      </c>
      <c r="I68" s="30" t="s">
        <v>12</v>
      </c>
      <c r="J68" s="17" t="s">
        <v>268</v>
      </c>
      <c r="K68" s="5" t="s">
        <v>748</v>
      </c>
      <c r="L68" s="30" t="s">
        <v>686</v>
      </c>
      <c r="M68" s="31" t="s">
        <v>263</v>
      </c>
      <c r="N68" s="5"/>
      <c r="O68" s="5">
        <v>23</v>
      </c>
      <c r="P68" s="36">
        <v>100000</v>
      </c>
      <c r="Q68" s="5"/>
      <c r="R68" s="5"/>
    </row>
    <row r="69" spans="1:19" s="2" customFormat="1" ht="82.8" x14ac:dyDescent="0.3">
      <c r="B69" s="4">
        <v>67</v>
      </c>
      <c r="C69" s="16">
        <v>608</v>
      </c>
      <c r="D69" s="4" t="s">
        <v>269</v>
      </c>
      <c r="E69" s="19" t="s">
        <v>270</v>
      </c>
      <c r="F69" s="4">
        <v>710533</v>
      </c>
      <c r="G69" s="16" t="s">
        <v>16</v>
      </c>
      <c r="H69" s="19" t="s">
        <v>271</v>
      </c>
      <c r="I69" s="19" t="s">
        <v>272</v>
      </c>
      <c r="J69" s="9" t="s">
        <v>273</v>
      </c>
      <c r="K69" s="5" t="s">
        <v>799</v>
      </c>
      <c r="L69" s="4" t="s">
        <v>686</v>
      </c>
      <c r="M69" s="19" t="s">
        <v>270</v>
      </c>
      <c r="N69" s="20" t="s">
        <v>1064</v>
      </c>
      <c r="O69" s="5">
        <v>67</v>
      </c>
      <c r="P69" s="36">
        <v>120000</v>
      </c>
      <c r="Q69" s="5"/>
      <c r="R69" s="5"/>
    </row>
    <row r="70" spans="1:19" s="2" customFormat="1" ht="69" x14ac:dyDescent="0.3">
      <c r="A70" s="62">
        <v>45882</v>
      </c>
      <c r="B70" s="4">
        <v>68</v>
      </c>
      <c r="C70" s="16">
        <v>1099</v>
      </c>
      <c r="D70" s="4" t="s">
        <v>274</v>
      </c>
      <c r="E70" s="19" t="s">
        <v>275</v>
      </c>
      <c r="F70" s="4">
        <v>6163548</v>
      </c>
      <c r="G70" s="16" t="s">
        <v>16</v>
      </c>
      <c r="H70" s="19" t="s">
        <v>276</v>
      </c>
      <c r="I70" s="19" t="s">
        <v>276</v>
      </c>
      <c r="J70" s="9" t="s">
        <v>277</v>
      </c>
      <c r="K70" s="5" t="s">
        <v>800</v>
      </c>
      <c r="L70" s="4"/>
      <c r="M70" s="19" t="s">
        <v>1458</v>
      </c>
      <c r="N70" s="20" t="s">
        <v>1068</v>
      </c>
      <c r="O70" s="5">
        <v>1</v>
      </c>
      <c r="P70" s="36">
        <v>100000</v>
      </c>
      <c r="Q70" s="5"/>
      <c r="R70" s="5"/>
      <c r="S70" s="2" t="s">
        <v>1459</v>
      </c>
    </row>
    <row r="71" spans="1:19" s="2" customFormat="1" ht="13.8" x14ac:dyDescent="0.3">
      <c r="B71" s="4">
        <v>69</v>
      </c>
      <c r="C71" s="16">
        <v>228967</v>
      </c>
      <c r="D71" s="42" t="s">
        <v>278</v>
      </c>
      <c r="E71" s="16"/>
      <c r="F71" s="4"/>
      <c r="G71" s="16" t="s">
        <v>16</v>
      </c>
      <c r="H71" s="16"/>
      <c r="I71" s="16"/>
      <c r="J71" s="16"/>
      <c r="K71" s="5" t="s">
        <v>801</v>
      </c>
      <c r="L71" s="4"/>
      <c r="M71" s="5"/>
      <c r="N71" s="5"/>
      <c r="O71" s="5"/>
      <c r="P71" s="5"/>
      <c r="Q71" s="5"/>
      <c r="R71" s="5"/>
    </row>
    <row r="72" spans="1:19" s="2" customFormat="1" ht="69" x14ac:dyDescent="0.3">
      <c r="B72" s="4">
        <v>70</v>
      </c>
      <c r="C72" s="16">
        <v>234483</v>
      </c>
      <c r="D72" s="4" t="s">
        <v>279</v>
      </c>
      <c r="E72" s="16" t="s">
        <v>1075</v>
      </c>
      <c r="F72" s="4" t="s">
        <v>1079</v>
      </c>
      <c r="G72" s="16" t="s">
        <v>16</v>
      </c>
      <c r="H72" s="16" t="s">
        <v>1076</v>
      </c>
      <c r="I72" s="16" t="s">
        <v>1077</v>
      </c>
      <c r="J72" s="52" t="s">
        <v>1080</v>
      </c>
      <c r="K72" s="5" t="s">
        <v>802</v>
      </c>
      <c r="L72" s="4" t="s">
        <v>686</v>
      </c>
      <c r="M72" s="16" t="s">
        <v>1075</v>
      </c>
      <c r="N72" s="20" t="s">
        <v>1087</v>
      </c>
      <c r="O72" s="5">
        <v>1</v>
      </c>
      <c r="P72" s="36">
        <v>100000</v>
      </c>
      <c r="Q72" s="5"/>
      <c r="R72" s="5"/>
    </row>
    <row r="73" spans="1:19" s="2" customFormat="1" ht="13.8" x14ac:dyDescent="0.3">
      <c r="B73" s="4">
        <v>71</v>
      </c>
      <c r="C73" s="30" t="s">
        <v>284</v>
      </c>
      <c r="D73" s="48" t="s">
        <v>280</v>
      </c>
      <c r="E73" s="31" t="s">
        <v>281</v>
      </c>
      <c r="F73" s="30"/>
      <c r="G73" s="30" t="s">
        <v>1078</v>
      </c>
      <c r="H73" s="30" t="s">
        <v>12</v>
      </c>
      <c r="I73" s="30" t="s">
        <v>285</v>
      </c>
      <c r="J73" s="14" t="s">
        <v>12</v>
      </c>
      <c r="K73" s="5" t="s">
        <v>803</v>
      </c>
      <c r="L73" s="30"/>
      <c r="M73" s="5"/>
      <c r="N73" s="5"/>
      <c r="O73" s="5"/>
      <c r="P73" s="5"/>
      <c r="Q73" s="5"/>
      <c r="R73" s="5"/>
    </row>
    <row r="74" spans="1:19" s="2" customFormat="1" ht="55.2" x14ac:dyDescent="0.3">
      <c r="B74" s="4">
        <v>72</v>
      </c>
      <c r="C74" s="30">
        <v>1007</v>
      </c>
      <c r="D74" s="30" t="s">
        <v>286</v>
      </c>
      <c r="E74" s="31" t="s">
        <v>287</v>
      </c>
      <c r="F74" s="30">
        <v>1347582</v>
      </c>
      <c r="G74" s="30" t="s">
        <v>1090</v>
      </c>
      <c r="H74" s="35" t="s">
        <v>1089</v>
      </c>
      <c r="I74" s="30" t="s">
        <v>12</v>
      </c>
      <c r="J74" s="17" t="s">
        <v>290</v>
      </c>
      <c r="K74" s="5" t="s">
        <v>804</v>
      </c>
      <c r="L74" s="30" t="s">
        <v>686</v>
      </c>
      <c r="M74" s="31" t="s">
        <v>287</v>
      </c>
      <c r="N74" s="20" t="s">
        <v>1095</v>
      </c>
      <c r="O74" s="5">
        <v>2</v>
      </c>
      <c r="P74" s="36">
        <v>50000</v>
      </c>
      <c r="Q74" s="5"/>
      <c r="R74" s="5"/>
    </row>
    <row r="75" spans="1:19" s="2" customFormat="1" ht="27.6" x14ac:dyDescent="0.3">
      <c r="B75" s="4">
        <v>73</v>
      </c>
      <c r="C75" s="16">
        <v>854</v>
      </c>
      <c r="D75" s="42" t="s">
        <v>291</v>
      </c>
      <c r="E75" s="19" t="s">
        <v>292</v>
      </c>
      <c r="F75" s="4"/>
      <c r="G75" s="16" t="s">
        <v>16</v>
      </c>
      <c r="H75" s="19" t="s">
        <v>293</v>
      </c>
      <c r="I75" s="19"/>
      <c r="J75" s="9" t="s">
        <v>294</v>
      </c>
      <c r="K75" s="5" t="s">
        <v>805</v>
      </c>
      <c r="L75" s="4"/>
      <c r="M75" s="5"/>
      <c r="N75" s="5"/>
      <c r="O75" s="5"/>
      <c r="P75" s="5"/>
      <c r="Q75" s="5"/>
      <c r="R75" s="5"/>
    </row>
    <row r="76" spans="1:19" s="2" customFormat="1" ht="27.6" x14ac:dyDescent="0.3">
      <c r="A76" s="62">
        <v>45871</v>
      </c>
      <c r="B76" s="4">
        <v>74</v>
      </c>
      <c r="C76" s="16"/>
      <c r="D76" s="4" t="s">
        <v>295</v>
      </c>
      <c r="E76" s="19" t="s">
        <v>1097</v>
      </c>
      <c r="F76" s="4">
        <v>9745313</v>
      </c>
      <c r="G76" s="16" t="s">
        <v>1100</v>
      </c>
      <c r="H76" s="19" t="s">
        <v>1098</v>
      </c>
      <c r="I76" s="19"/>
      <c r="J76" s="52" t="s">
        <v>1099</v>
      </c>
      <c r="K76" s="5" t="s">
        <v>806</v>
      </c>
      <c r="L76" s="4" t="s">
        <v>686</v>
      </c>
      <c r="M76" s="19" t="s">
        <v>1448</v>
      </c>
      <c r="N76" s="5"/>
      <c r="O76" s="5">
        <v>1</v>
      </c>
      <c r="P76" s="36">
        <v>100000</v>
      </c>
      <c r="Q76" s="5"/>
      <c r="R76" s="5"/>
      <c r="S76" s="2" t="s">
        <v>1449</v>
      </c>
    </row>
    <row r="77" spans="1:19" s="2" customFormat="1" ht="27.6" x14ac:dyDescent="0.3">
      <c r="B77" s="4"/>
      <c r="C77" s="16"/>
      <c r="D77" s="4" t="s">
        <v>1112</v>
      </c>
      <c r="E77" s="19" t="s">
        <v>1108</v>
      </c>
      <c r="F77" s="4">
        <v>786617</v>
      </c>
      <c r="G77" s="16" t="s">
        <v>1111</v>
      </c>
      <c r="H77" s="19" t="s">
        <v>1110</v>
      </c>
      <c r="I77" s="19"/>
      <c r="J77" s="52" t="s">
        <v>1109</v>
      </c>
      <c r="K77" s="5" t="s">
        <v>1121</v>
      </c>
      <c r="L77" s="4" t="s">
        <v>686</v>
      </c>
      <c r="M77" s="19" t="s">
        <v>1108</v>
      </c>
      <c r="N77" s="20" t="s">
        <v>1119</v>
      </c>
      <c r="O77" s="5">
        <v>4</v>
      </c>
      <c r="P77" s="36">
        <v>100000</v>
      </c>
      <c r="Q77" s="5"/>
      <c r="R77" s="5"/>
    </row>
    <row r="78" spans="1:19" s="2" customFormat="1" ht="13.8" x14ac:dyDescent="0.3">
      <c r="B78" s="4">
        <v>75</v>
      </c>
      <c r="C78" s="16">
        <v>122919</v>
      </c>
      <c r="D78" s="42" t="s">
        <v>296</v>
      </c>
      <c r="E78" s="16"/>
      <c r="F78" s="4"/>
      <c r="G78" s="16" t="s">
        <v>16</v>
      </c>
      <c r="H78" s="16"/>
      <c r="I78" s="16"/>
      <c r="J78" s="16"/>
      <c r="K78" s="5" t="s">
        <v>807</v>
      </c>
      <c r="L78" s="4"/>
      <c r="M78" s="5"/>
      <c r="N78" s="5"/>
      <c r="O78" s="5"/>
      <c r="P78" s="5"/>
      <c r="Q78" s="5"/>
      <c r="R78" s="5"/>
    </row>
    <row r="79" spans="1:19" s="2" customFormat="1" ht="27.6" x14ac:dyDescent="0.3">
      <c r="B79" s="4">
        <v>76</v>
      </c>
      <c r="C79" s="16">
        <v>845</v>
      </c>
      <c r="D79" s="42" t="s">
        <v>297</v>
      </c>
      <c r="E79" s="19" t="s">
        <v>298</v>
      </c>
      <c r="F79" s="4"/>
      <c r="G79" s="16" t="s">
        <v>16</v>
      </c>
      <c r="H79" s="19" t="s">
        <v>299</v>
      </c>
      <c r="I79" s="19"/>
      <c r="J79" s="9" t="s">
        <v>300</v>
      </c>
      <c r="K79" s="5" t="s">
        <v>808</v>
      </c>
      <c r="L79" s="4"/>
      <c r="M79" s="5"/>
      <c r="N79" s="5"/>
      <c r="O79" s="5"/>
      <c r="P79" s="5"/>
      <c r="Q79" s="5"/>
      <c r="R79" s="5"/>
    </row>
    <row r="80" spans="1:19" s="2" customFormat="1" ht="27.6" x14ac:dyDescent="0.3">
      <c r="B80" s="4">
        <v>77</v>
      </c>
      <c r="C80" s="30">
        <v>225051</v>
      </c>
      <c r="D80" s="30" t="s">
        <v>301</v>
      </c>
      <c r="E80" s="31" t="s">
        <v>302</v>
      </c>
      <c r="F80" s="30">
        <v>5440084977565</v>
      </c>
      <c r="G80" s="30" t="s">
        <v>1122</v>
      </c>
      <c r="H80" s="30"/>
      <c r="I80" s="30" t="s">
        <v>305</v>
      </c>
      <c r="J80" s="14" t="s">
        <v>12</v>
      </c>
      <c r="K80" s="5" t="s">
        <v>749</v>
      </c>
      <c r="L80" s="30" t="s">
        <v>686</v>
      </c>
      <c r="M80" s="31" t="s">
        <v>302</v>
      </c>
      <c r="N80" s="5"/>
      <c r="O80" s="5">
        <v>4</v>
      </c>
      <c r="P80" s="36">
        <v>100000</v>
      </c>
      <c r="Q80" s="5"/>
      <c r="R80" s="5"/>
    </row>
    <row r="81" spans="2:18" s="2" customFormat="1" ht="13.8" x14ac:dyDescent="0.3">
      <c r="B81" s="4">
        <v>78</v>
      </c>
      <c r="C81" s="16">
        <v>189055</v>
      </c>
      <c r="D81" s="42" t="s">
        <v>306</v>
      </c>
      <c r="E81" s="16"/>
      <c r="F81" s="4"/>
      <c r="G81" s="16" t="s">
        <v>110</v>
      </c>
      <c r="H81" s="16"/>
      <c r="I81" s="16"/>
      <c r="J81" s="16"/>
      <c r="K81" s="5" t="s">
        <v>769</v>
      </c>
      <c r="L81" s="4"/>
      <c r="M81" s="5"/>
      <c r="N81" s="5"/>
      <c r="O81" s="5"/>
      <c r="P81" s="5"/>
      <c r="Q81" s="5"/>
      <c r="R81" s="5"/>
    </row>
    <row r="82" spans="2:18" s="2" customFormat="1" ht="110.4" x14ac:dyDescent="0.3">
      <c r="B82" s="4">
        <v>79</v>
      </c>
      <c r="C82" s="30">
        <v>3550150</v>
      </c>
      <c r="D82" s="30" t="s">
        <v>307</v>
      </c>
      <c r="E82" s="31" t="s">
        <v>308</v>
      </c>
      <c r="F82" s="30">
        <v>3550150</v>
      </c>
      <c r="G82" s="30" t="s">
        <v>1124</v>
      </c>
      <c r="H82" s="30" t="s">
        <v>310</v>
      </c>
      <c r="I82" s="30" t="s">
        <v>12</v>
      </c>
      <c r="J82" s="17" t="s">
        <v>311</v>
      </c>
      <c r="K82" s="5" t="s">
        <v>809</v>
      </c>
      <c r="L82" s="30" t="s">
        <v>686</v>
      </c>
      <c r="M82" s="31" t="s">
        <v>308</v>
      </c>
      <c r="N82" s="20" t="s">
        <v>1125</v>
      </c>
      <c r="O82" s="5">
        <v>6</v>
      </c>
      <c r="P82" s="36">
        <v>100000</v>
      </c>
      <c r="Q82" s="5"/>
      <c r="R82" s="5"/>
    </row>
    <row r="83" spans="2:18" s="2" customFormat="1" ht="41.4" x14ac:dyDescent="0.3">
      <c r="B83" s="4">
        <v>80</v>
      </c>
      <c r="C83" s="30">
        <v>72167974</v>
      </c>
      <c r="D83" s="30" t="s">
        <v>312</v>
      </c>
      <c r="E83" s="31" t="s">
        <v>313</v>
      </c>
      <c r="F83" s="30">
        <v>7216974</v>
      </c>
      <c r="G83" s="30" t="s">
        <v>1128</v>
      </c>
      <c r="H83" s="30" t="s">
        <v>316</v>
      </c>
      <c r="I83" s="30" t="s">
        <v>12</v>
      </c>
      <c r="J83" s="17" t="s">
        <v>317</v>
      </c>
      <c r="K83" s="5" t="s">
        <v>792</v>
      </c>
      <c r="L83" s="30" t="s">
        <v>686</v>
      </c>
      <c r="M83" s="31" t="s">
        <v>313</v>
      </c>
      <c r="N83" s="20" t="s">
        <v>1129</v>
      </c>
      <c r="O83" s="5">
        <v>11</v>
      </c>
      <c r="P83" s="36">
        <v>100000</v>
      </c>
      <c r="Q83" s="5"/>
      <c r="R83" s="5"/>
    </row>
    <row r="84" spans="2:18" s="2" customFormat="1" ht="41.4" x14ac:dyDescent="0.3">
      <c r="B84" s="4">
        <v>81</v>
      </c>
      <c r="C84" s="16"/>
      <c r="D84" s="4" t="s">
        <v>318</v>
      </c>
      <c r="E84" s="16" t="s">
        <v>1131</v>
      </c>
      <c r="F84" s="4" t="s">
        <v>1134</v>
      </c>
      <c r="G84" s="16" t="s">
        <v>1132</v>
      </c>
      <c r="H84" s="16">
        <v>616538313</v>
      </c>
      <c r="I84" s="16" t="s">
        <v>1136</v>
      </c>
      <c r="J84" s="52" t="s">
        <v>1135</v>
      </c>
      <c r="K84" s="5" t="s">
        <v>810</v>
      </c>
      <c r="L84" s="4" t="s">
        <v>686</v>
      </c>
      <c r="M84" s="5" t="s">
        <v>1133</v>
      </c>
      <c r="N84" s="20" t="s">
        <v>1141</v>
      </c>
      <c r="O84" s="5">
        <v>61</v>
      </c>
      <c r="P84" s="36">
        <v>100000</v>
      </c>
      <c r="Q84" s="5"/>
      <c r="R84" s="5"/>
    </row>
    <row r="85" spans="2:18" s="2" customFormat="1" ht="13.8" x14ac:dyDescent="0.3">
      <c r="B85" s="4">
        <v>82</v>
      </c>
      <c r="C85" s="16">
        <v>0</v>
      </c>
      <c r="D85" s="42" t="s">
        <v>319</v>
      </c>
      <c r="E85" s="19" t="s">
        <v>320</v>
      </c>
      <c r="F85" s="4"/>
      <c r="G85" s="16" t="s">
        <v>60</v>
      </c>
      <c r="H85" s="18"/>
      <c r="I85" s="18"/>
      <c r="J85" s="17" t="s">
        <v>321</v>
      </c>
      <c r="K85" s="5" t="s">
        <v>760</v>
      </c>
      <c r="L85" s="4"/>
      <c r="M85" s="5"/>
      <c r="N85" s="5"/>
      <c r="O85" s="5"/>
      <c r="P85" s="5"/>
      <c r="Q85" s="5"/>
      <c r="R85" s="5"/>
    </row>
    <row r="86" spans="2:18" s="2" customFormat="1" ht="41.4" x14ac:dyDescent="0.3">
      <c r="B86" s="4">
        <v>83</v>
      </c>
      <c r="C86" s="30">
        <v>6616600</v>
      </c>
      <c r="D86" s="30" t="s">
        <v>322</v>
      </c>
      <c r="E86" s="31" t="s">
        <v>323</v>
      </c>
      <c r="F86" s="30" t="s">
        <v>1143</v>
      </c>
      <c r="G86" s="30" t="s">
        <v>1142</v>
      </c>
      <c r="H86" s="30" t="s">
        <v>175</v>
      </c>
      <c r="I86" s="30" t="s">
        <v>12</v>
      </c>
      <c r="J86" s="17" t="s">
        <v>326</v>
      </c>
      <c r="K86" s="5" t="s">
        <v>811</v>
      </c>
      <c r="L86" s="30" t="s">
        <v>686</v>
      </c>
      <c r="M86" s="31" t="s">
        <v>323</v>
      </c>
      <c r="N86" s="20" t="s">
        <v>1144</v>
      </c>
      <c r="O86" s="5">
        <v>99</v>
      </c>
      <c r="P86" s="36">
        <v>100000</v>
      </c>
      <c r="Q86" s="5"/>
      <c r="R86" s="5"/>
    </row>
    <row r="87" spans="2:18" s="2" customFormat="1" ht="41.4" x14ac:dyDescent="0.3">
      <c r="B87" s="4">
        <v>84</v>
      </c>
      <c r="C87" s="30">
        <v>169951</v>
      </c>
      <c r="D87" s="30" t="s">
        <v>327</v>
      </c>
      <c r="E87" s="31" t="s">
        <v>328</v>
      </c>
      <c r="F87" s="30"/>
      <c r="G87" s="30" t="s">
        <v>1149</v>
      </c>
      <c r="H87" s="30"/>
      <c r="I87" s="30" t="s">
        <v>331</v>
      </c>
      <c r="J87" s="17" t="s">
        <v>332</v>
      </c>
      <c r="K87" s="5" t="s">
        <v>812</v>
      </c>
      <c r="L87" s="30" t="s">
        <v>686</v>
      </c>
      <c r="M87" s="31" t="s">
        <v>328</v>
      </c>
      <c r="N87" s="5"/>
      <c r="O87" s="5"/>
      <c r="P87" s="36">
        <v>100000</v>
      </c>
      <c r="Q87" s="5"/>
      <c r="R87" s="5"/>
    </row>
    <row r="88" spans="2:18" s="2" customFormat="1" ht="82.8" x14ac:dyDescent="0.3">
      <c r="B88" s="4">
        <v>85</v>
      </c>
      <c r="C88" s="16" t="s">
        <v>335</v>
      </c>
      <c r="D88" s="42" t="s">
        <v>333</v>
      </c>
      <c r="E88" s="16" t="s">
        <v>334</v>
      </c>
      <c r="F88" s="4"/>
      <c r="G88" s="4"/>
      <c r="H88" s="4"/>
      <c r="I88" s="4">
        <v>3450620622</v>
      </c>
      <c r="J88" s="4"/>
      <c r="K88" s="5" t="s">
        <v>810</v>
      </c>
      <c r="L88" s="4"/>
      <c r="M88" s="5"/>
      <c r="N88" s="5"/>
      <c r="O88" s="5"/>
      <c r="P88" s="5"/>
      <c r="Q88" s="5"/>
      <c r="R88" s="5"/>
    </row>
    <row r="89" spans="2:18" s="2" customFormat="1" ht="41.4" x14ac:dyDescent="0.3">
      <c r="B89" s="4">
        <v>86</v>
      </c>
      <c r="C89" s="16">
        <v>933</v>
      </c>
      <c r="D89" s="4" t="s">
        <v>336</v>
      </c>
      <c r="E89" s="19" t="s">
        <v>337</v>
      </c>
      <c r="F89" s="4">
        <v>818554</v>
      </c>
      <c r="G89" s="16" t="s">
        <v>16</v>
      </c>
      <c r="H89" s="19" t="s">
        <v>338</v>
      </c>
      <c r="I89" s="19"/>
      <c r="J89" s="9" t="s">
        <v>339</v>
      </c>
      <c r="K89" s="5" t="s">
        <v>813</v>
      </c>
      <c r="L89" s="4" t="s">
        <v>942</v>
      </c>
      <c r="M89" s="19" t="s">
        <v>337</v>
      </c>
      <c r="N89" s="20" t="s">
        <v>1155</v>
      </c>
      <c r="O89" s="5"/>
      <c r="P89" s="5"/>
      <c r="Q89" s="5"/>
      <c r="R89" s="5"/>
    </row>
    <row r="90" spans="2:18" s="2" customFormat="1" ht="13.8" x14ac:dyDescent="0.3">
      <c r="B90" s="4">
        <v>87</v>
      </c>
      <c r="C90" s="16"/>
      <c r="D90" s="42" t="s">
        <v>340</v>
      </c>
      <c r="E90" s="16"/>
      <c r="F90" s="4"/>
      <c r="G90" s="4"/>
      <c r="H90" s="4"/>
      <c r="I90" s="4"/>
      <c r="J90" s="4"/>
      <c r="K90" s="5" t="s">
        <v>760</v>
      </c>
      <c r="L90" s="4"/>
      <c r="M90" s="5"/>
      <c r="N90" s="5"/>
      <c r="O90" s="5"/>
      <c r="P90" s="5"/>
      <c r="Q90" s="5"/>
      <c r="R90" s="5"/>
    </row>
    <row r="91" spans="2:18" s="2" customFormat="1" ht="27.6" x14ac:dyDescent="0.3">
      <c r="B91" s="4">
        <v>88</v>
      </c>
      <c r="C91" s="30">
        <v>242068</v>
      </c>
      <c r="D91" s="48" t="s">
        <v>341</v>
      </c>
      <c r="E91" s="31" t="s">
        <v>342</v>
      </c>
      <c r="F91" s="30"/>
      <c r="G91" s="30"/>
      <c r="H91" s="30" t="s">
        <v>12</v>
      </c>
      <c r="I91" s="30" t="s">
        <v>345</v>
      </c>
      <c r="J91" s="17" t="s">
        <v>346</v>
      </c>
      <c r="K91" s="5" t="s">
        <v>814</v>
      </c>
      <c r="L91" s="30"/>
      <c r="M91" s="5"/>
      <c r="N91" s="5"/>
      <c r="O91" s="5"/>
      <c r="P91" s="5"/>
      <c r="Q91" s="5"/>
      <c r="R91" s="5"/>
    </row>
    <row r="92" spans="2:18" s="2" customFormat="1" ht="41.4" x14ac:dyDescent="0.3">
      <c r="B92" s="4">
        <v>89</v>
      </c>
      <c r="C92" s="16">
        <v>965</v>
      </c>
      <c r="D92" s="4" t="s">
        <v>347</v>
      </c>
      <c r="E92" s="19" t="s">
        <v>348</v>
      </c>
      <c r="F92" s="4">
        <v>455637</v>
      </c>
      <c r="G92" s="16" t="s">
        <v>1161</v>
      </c>
      <c r="H92" s="19" t="s">
        <v>349</v>
      </c>
      <c r="I92" s="19" t="s">
        <v>1170</v>
      </c>
      <c r="J92" s="9" t="s">
        <v>350</v>
      </c>
      <c r="K92" s="5" t="s">
        <v>1162</v>
      </c>
      <c r="L92" s="4" t="s">
        <v>686</v>
      </c>
      <c r="M92" s="19" t="s">
        <v>348</v>
      </c>
      <c r="N92" s="20" t="s">
        <v>1168</v>
      </c>
      <c r="O92" s="5">
        <v>37</v>
      </c>
      <c r="P92" s="36">
        <v>50000</v>
      </c>
      <c r="Q92" s="5"/>
      <c r="R92" s="5"/>
    </row>
    <row r="93" spans="2:18" s="2" customFormat="1" ht="82.8" x14ac:dyDescent="0.3">
      <c r="B93" s="4">
        <v>90</v>
      </c>
      <c r="C93" s="30">
        <v>823</v>
      </c>
      <c r="D93" s="30" t="s">
        <v>351</v>
      </c>
      <c r="E93" s="31" t="s">
        <v>352</v>
      </c>
      <c r="F93" s="30">
        <v>2240324</v>
      </c>
      <c r="G93" s="30" t="s">
        <v>1171</v>
      </c>
      <c r="H93" s="30" t="s">
        <v>355</v>
      </c>
      <c r="I93" s="30" t="s">
        <v>1172</v>
      </c>
      <c r="J93" s="14" t="s">
        <v>12</v>
      </c>
      <c r="K93" s="5" t="s">
        <v>815</v>
      </c>
      <c r="L93" s="30" t="s">
        <v>686</v>
      </c>
      <c r="M93" s="31" t="s">
        <v>352</v>
      </c>
      <c r="N93" s="20" t="s">
        <v>1176</v>
      </c>
      <c r="O93" s="5" t="s">
        <v>1177</v>
      </c>
      <c r="P93" s="20" t="s">
        <v>1178</v>
      </c>
      <c r="Q93" s="5"/>
      <c r="R93" s="5"/>
    </row>
    <row r="94" spans="2:18" s="2" customFormat="1" ht="27.6" x14ac:dyDescent="0.3">
      <c r="B94" s="4">
        <v>91</v>
      </c>
      <c r="C94" s="16">
        <v>1026</v>
      </c>
      <c r="D94" s="42" t="s">
        <v>356</v>
      </c>
      <c r="E94" s="19" t="s">
        <v>357</v>
      </c>
      <c r="F94" s="4"/>
      <c r="G94" s="16" t="s">
        <v>16</v>
      </c>
      <c r="H94" s="19" t="s">
        <v>358</v>
      </c>
      <c r="I94" s="19"/>
      <c r="J94" s="19" t="s">
        <v>114</v>
      </c>
      <c r="K94" s="5" t="s">
        <v>816</v>
      </c>
      <c r="L94" s="4"/>
      <c r="M94" s="5"/>
      <c r="N94" s="5"/>
      <c r="O94" s="5"/>
      <c r="P94" s="5"/>
      <c r="Q94" s="5"/>
      <c r="R94" s="5"/>
    </row>
    <row r="95" spans="2:18" s="2" customFormat="1" ht="41.4" x14ac:dyDescent="0.3">
      <c r="B95" s="4">
        <v>92</v>
      </c>
      <c r="C95" s="16">
        <v>836</v>
      </c>
      <c r="D95" s="42" t="s">
        <v>359</v>
      </c>
      <c r="E95" s="19" t="s">
        <v>360</v>
      </c>
      <c r="F95" s="4"/>
      <c r="G95" s="16" t="s">
        <v>16</v>
      </c>
      <c r="H95" s="19" t="s">
        <v>361</v>
      </c>
      <c r="I95" s="20"/>
      <c r="J95" s="19" t="s">
        <v>114</v>
      </c>
      <c r="K95" s="5" t="s">
        <v>817</v>
      </c>
      <c r="L95" s="4"/>
      <c r="M95" s="5"/>
      <c r="N95" s="5"/>
      <c r="O95" s="5"/>
      <c r="P95" s="5"/>
      <c r="Q95" s="5"/>
      <c r="R95" s="5"/>
    </row>
    <row r="96" spans="2:18" s="2" customFormat="1" ht="27.6" x14ac:dyDescent="0.3">
      <c r="B96" s="4">
        <v>93</v>
      </c>
      <c r="C96" s="16">
        <v>849</v>
      </c>
      <c r="D96" s="42" t="s">
        <v>362</v>
      </c>
      <c r="E96" s="19" t="s">
        <v>363</v>
      </c>
      <c r="F96" s="4"/>
      <c r="G96" s="16" t="s">
        <v>6</v>
      </c>
      <c r="H96" s="16"/>
      <c r="I96" s="16"/>
      <c r="J96" s="16"/>
      <c r="K96" s="5" t="s">
        <v>818</v>
      </c>
      <c r="L96" s="4"/>
      <c r="M96" s="5"/>
      <c r="N96" s="5"/>
      <c r="O96" s="5"/>
      <c r="P96" s="5"/>
      <c r="Q96" s="5"/>
      <c r="R96" s="5"/>
    </row>
    <row r="97" spans="1:19" s="2" customFormat="1" ht="13.8" x14ac:dyDescent="0.3">
      <c r="B97" s="4">
        <v>94</v>
      </c>
      <c r="C97" s="30">
        <v>10834</v>
      </c>
      <c r="D97" s="48" t="s">
        <v>364</v>
      </c>
      <c r="E97" s="31" t="s">
        <v>365</v>
      </c>
      <c r="F97" s="30"/>
      <c r="G97" s="30"/>
      <c r="H97" s="30"/>
      <c r="I97" s="30" t="s">
        <v>368</v>
      </c>
      <c r="J97" s="17" t="s">
        <v>369</v>
      </c>
      <c r="K97" s="5" t="s">
        <v>819</v>
      </c>
      <c r="L97" s="30"/>
      <c r="M97" s="5"/>
      <c r="N97" s="5"/>
      <c r="O97" s="5"/>
      <c r="P97" s="5"/>
      <c r="Q97" s="5"/>
      <c r="R97" s="5"/>
    </row>
    <row r="98" spans="1:19" s="2" customFormat="1" ht="27.6" x14ac:dyDescent="0.3">
      <c r="A98" s="62">
        <v>45871</v>
      </c>
      <c r="B98" s="4">
        <v>95</v>
      </c>
      <c r="C98" s="16" t="s">
        <v>374</v>
      </c>
      <c r="D98" s="42" t="s">
        <v>370</v>
      </c>
      <c r="E98" s="19" t="s">
        <v>371</v>
      </c>
      <c r="F98" s="4"/>
      <c r="G98" s="16" t="s">
        <v>375</v>
      </c>
      <c r="H98" s="19" t="s">
        <v>4</v>
      </c>
      <c r="I98" s="19"/>
      <c r="J98" s="9" t="s">
        <v>120</v>
      </c>
      <c r="K98" s="5" t="s">
        <v>820</v>
      </c>
      <c r="L98" s="4"/>
      <c r="M98" s="5"/>
      <c r="N98" s="5"/>
      <c r="O98" s="5"/>
      <c r="P98" s="5"/>
      <c r="Q98" s="5"/>
      <c r="R98" s="5"/>
      <c r="S98" s="2" t="s">
        <v>1456</v>
      </c>
    </row>
    <row r="99" spans="1:19" s="2" customFormat="1" ht="82.8" x14ac:dyDescent="0.3">
      <c r="B99" s="4">
        <v>96</v>
      </c>
      <c r="C99" s="16">
        <v>958</v>
      </c>
      <c r="D99" s="4" t="s">
        <v>376</v>
      </c>
      <c r="E99" s="19" t="s">
        <v>377</v>
      </c>
      <c r="F99" s="4">
        <v>710672</v>
      </c>
      <c r="G99" s="16" t="s">
        <v>110</v>
      </c>
      <c r="H99" s="19" t="s">
        <v>378</v>
      </c>
      <c r="I99" s="19" t="s">
        <v>379</v>
      </c>
      <c r="J99" s="9" t="s">
        <v>380</v>
      </c>
      <c r="K99" s="53">
        <v>46335</v>
      </c>
      <c r="L99" s="4" t="s">
        <v>942</v>
      </c>
      <c r="M99" s="19" t="s">
        <v>377</v>
      </c>
      <c r="N99" s="20" t="s">
        <v>1256</v>
      </c>
      <c r="O99" s="5">
        <v>390</v>
      </c>
      <c r="P99" s="36">
        <v>50000</v>
      </c>
      <c r="Q99" s="5"/>
      <c r="R99" s="5"/>
    </row>
    <row r="100" spans="1:19" s="2" customFormat="1" ht="27.6" x14ac:dyDescent="0.3">
      <c r="B100" s="4">
        <v>97</v>
      </c>
      <c r="C100" s="16">
        <v>822</v>
      </c>
      <c r="D100" s="4" t="s">
        <v>381</v>
      </c>
      <c r="E100" s="19" t="s">
        <v>382</v>
      </c>
      <c r="F100" s="4">
        <v>31184138</v>
      </c>
      <c r="G100" s="16" t="s">
        <v>1181</v>
      </c>
      <c r="H100" s="19" t="s">
        <v>385</v>
      </c>
      <c r="I100" s="20"/>
      <c r="J100" s="9" t="s">
        <v>386</v>
      </c>
      <c r="K100" s="5" t="s">
        <v>821</v>
      </c>
      <c r="L100" s="4" t="s">
        <v>686</v>
      </c>
      <c r="M100" s="19" t="s">
        <v>382</v>
      </c>
      <c r="N100" s="20" t="s">
        <v>1185</v>
      </c>
      <c r="O100" s="5">
        <v>48</v>
      </c>
      <c r="P100" s="5" t="s">
        <v>1180</v>
      </c>
      <c r="Q100" s="5"/>
      <c r="R100" s="5"/>
    </row>
    <row r="101" spans="1:19" s="2" customFormat="1" ht="55.2" x14ac:dyDescent="0.3">
      <c r="B101" s="4">
        <v>98</v>
      </c>
      <c r="C101" s="16">
        <v>773</v>
      </c>
      <c r="D101" s="4" t="s">
        <v>387</v>
      </c>
      <c r="E101" s="19" t="s">
        <v>388</v>
      </c>
      <c r="F101" s="4" t="s">
        <v>1189</v>
      </c>
      <c r="G101" s="16" t="s">
        <v>110</v>
      </c>
      <c r="H101" s="19" t="s">
        <v>389</v>
      </c>
      <c r="I101" s="20"/>
      <c r="J101" s="9" t="s">
        <v>390</v>
      </c>
      <c r="K101" s="5" t="s">
        <v>822</v>
      </c>
      <c r="L101" s="4" t="s">
        <v>686</v>
      </c>
      <c r="M101" s="19" t="s">
        <v>388</v>
      </c>
      <c r="N101" s="20" t="s">
        <v>1193</v>
      </c>
      <c r="O101" s="5">
        <v>77</v>
      </c>
      <c r="P101" s="36">
        <v>60000</v>
      </c>
      <c r="Q101" s="5"/>
      <c r="R101" s="5"/>
    </row>
    <row r="102" spans="1:19" s="2" customFormat="1" ht="55.2" x14ac:dyDescent="0.3">
      <c r="B102" s="4">
        <v>99</v>
      </c>
      <c r="C102" s="16">
        <v>907</v>
      </c>
      <c r="D102" s="4" t="s">
        <v>391</v>
      </c>
      <c r="E102" s="19" t="s">
        <v>392</v>
      </c>
      <c r="F102" s="4">
        <v>8468160</v>
      </c>
      <c r="G102" s="16" t="s">
        <v>16</v>
      </c>
      <c r="H102" s="19">
        <v>92515154787</v>
      </c>
      <c r="I102" s="19"/>
      <c r="J102" s="9" t="s">
        <v>393</v>
      </c>
      <c r="K102" s="5" t="s">
        <v>823</v>
      </c>
      <c r="L102" s="4" t="s">
        <v>686</v>
      </c>
      <c r="M102" s="19" t="s">
        <v>1255</v>
      </c>
      <c r="N102" s="20" t="s">
        <v>1199</v>
      </c>
      <c r="O102" s="5">
        <v>119</v>
      </c>
      <c r="P102" s="36">
        <v>100000</v>
      </c>
      <c r="Q102" s="5"/>
      <c r="R102" s="5"/>
    </row>
    <row r="103" spans="1:19" s="2" customFormat="1" ht="69" x14ac:dyDescent="0.3">
      <c r="B103" s="4">
        <v>100</v>
      </c>
      <c r="C103" s="16">
        <v>890</v>
      </c>
      <c r="D103" s="4" t="s">
        <v>394</v>
      </c>
      <c r="E103" s="19" t="s">
        <v>395</v>
      </c>
      <c r="F103" s="29">
        <v>4310101697017</v>
      </c>
      <c r="G103" s="16" t="s">
        <v>110</v>
      </c>
      <c r="H103" s="19" t="s">
        <v>114</v>
      </c>
      <c r="I103" s="20" t="s">
        <v>1203</v>
      </c>
      <c r="J103" s="9" t="s">
        <v>396</v>
      </c>
      <c r="K103" s="5" t="s">
        <v>824</v>
      </c>
      <c r="L103" s="4" t="s">
        <v>686</v>
      </c>
      <c r="M103" s="19" t="s">
        <v>395</v>
      </c>
      <c r="N103" s="20" t="s">
        <v>1208</v>
      </c>
      <c r="O103" s="5"/>
      <c r="P103" s="5"/>
      <c r="Q103" s="5"/>
      <c r="R103" s="5"/>
    </row>
    <row r="104" spans="1:19" s="2" customFormat="1" ht="27.6" x14ac:dyDescent="0.3">
      <c r="B104" s="4">
        <v>101</v>
      </c>
      <c r="C104" s="16">
        <v>847</v>
      </c>
      <c r="D104" s="42" t="s">
        <v>397</v>
      </c>
      <c r="E104" s="19" t="s">
        <v>398</v>
      </c>
      <c r="F104" s="4"/>
      <c r="G104" s="16" t="s">
        <v>110</v>
      </c>
      <c r="H104" s="19" t="s">
        <v>399</v>
      </c>
      <c r="I104" s="19"/>
      <c r="J104" s="9" t="s">
        <v>400</v>
      </c>
      <c r="K104" s="5" t="s">
        <v>825</v>
      </c>
      <c r="L104" s="4"/>
      <c r="M104" s="5"/>
      <c r="N104" s="5"/>
      <c r="O104" s="5"/>
      <c r="P104" s="5"/>
      <c r="Q104" s="5"/>
      <c r="R104" s="5"/>
    </row>
    <row r="105" spans="1:19" s="2" customFormat="1" ht="41.4" x14ac:dyDescent="0.3">
      <c r="B105" s="4">
        <v>102</v>
      </c>
      <c r="C105" s="30">
        <v>231833</v>
      </c>
      <c r="D105" s="30" t="s">
        <v>401</v>
      </c>
      <c r="E105" s="31" t="s">
        <v>402</v>
      </c>
      <c r="F105" s="30" t="s">
        <v>1211</v>
      </c>
      <c r="G105" s="30" t="s">
        <v>1210</v>
      </c>
      <c r="H105" s="30" t="s">
        <v>405</v>
      </c>
      <c r="I105" s="30">
        <v>3448218754</v>
      </c>
      <c r="J105" s="17" t="s">
        <v>406</v>
      </c>
      <c r="K105" s="5" t="s">
        <v>792</v>
      </c>
      <c r="L105" s="30" t="s">
        <v>686</v>
      </c>
      <c r="M105" s="31" t="s">
        <v>402</v>
      </c>
      <c r="N105" s="20" t="s">
        <v>1214</v>
      </c>
      <c r="O105" s="5">
        <v>10</v>
      </c>
      <c r="P105" s="36">
        <v>100000</v>
      </c>
      <c r="Q105" s="5"/>
      <c r="R105" s="5"/>
    </row>
    <row r="106" spans="1:19" s="2" customFormat="1" ht="27.6" x14ac:dyDescent="0.3">
      <c r="B106" s="4"/>
      <c r="C106" s="30"/>
      <c r="D106" s="30" t="s">
        <v>1216</v>
      </c>
      <c r="E106" s="31" t="s">
        <v>1218</v>
      </c>
      <c r="F106" s="30">
        <v>5440004459129</v>
      </c>
      <c r="G106" s="30" t="s">
        <v>1217</v>
      </c>
      <c r="H106" s="30">
        <v>812460365</v>
      </c>
      <c r="I106" s="30" t="s">
        <v>1219</v>
      </c>
      <c r="J106" s="17"/>
      <c r="K106" s="5"/>
      <c r="L106" s="30" t="s">
        <v>686</v>
      </c>
      <c r="M106" s="31" t="s">
        <v>1218</v>
      </c>
      <c r="N106" s="20" t="s">
        <v>1224</v>
      </c>
      <c r="O106" s="5">
        <v>21</v>
      </c>
      <c r="P106" s="36">
        <v>100000</v>
      </c>
      <c r="Q106" s="5"/>
      <c r="R106" s="5"/>
    </row>
    <row r="107" spans="1:19" s="2" customFormat="1" ht="27.6" x14ac:dyDescent="0.3">
      <c r="B107" s="4">
        <v>103</v>
      </c>
      <c r="C107" s="30">
        <v>237204</v>
      </c>
      <c r="D107" s="48" t="s">
        <v>407</v>
      </c>
      <c r="E107" s="31" t="s">
        <v>408</v>
      </c>
      <c r="F107" s="30"/>
      <c r="G107" s="30"/>
      <c r="H107" s="30" t="s">
        <v>12</v>
      </c>
      <c r="I107" s="30" t="s">
        <v>12</v>
      </c>
      <c r="J107" s="14" t="s">
        <v>12</v>
      </c>
      <c r="K107" s="5" t="s">
        <v>826</v>
      </c>
      <c r="L107" s="30"/>
      <c r="M107" s="5"/>
      <c r="N107" s="5"/>
      <c r="O107" s="5"/>
      <c r="P107" s="5"/>
      <c r="Q107" s="5"/>
      <c r="R107" s="5"/>
    </row>
    <row r="108" spans="1:19" s="2" customFormat="1" ht="13.8" x14ac:dyDescent="0.3">
      <c r="B108" s="4">
        <v>104</v>
      </c>
      <c r="C108" s="30">
        <v>220458</v>
      </c>
      <c r="D108" s="30" t="s">
        <v>411</v>
      </c>
      <c r="E108" s="31" t="s">
        <v>412</v>
      </c>
      <c r="F108" s="30"/>
      <c r="G108" s="30"/>
      <c r="H108" s="30" t="s">
        <v>415</v>
      </c>
      <c r="I108" s="30"/>
      <c r="J108" s="17" t="s">
        <v>416</v>
      </c>
      <c r="K108" s="5" t="s">
        <v>827</v>
      </c>
      <c r="L108" s="30"/>
      <c r="M108" s="5"/>
      <c r="N108" s="5"/>
      <c r="O108" s="5"/>
      <c r="P108" s="5"/>
      <c r="Q108" s="5"/>
      <c r="R108" s="5"/>
    </row>
    <row r="109" spans="1:19" s="2" customFormat="1" ht="27.6" x14ac:dyDescent="0.3">
      <c r="B109" s="4">
        <v>105</v>
      </c>
      <c r="C109" s="16">
        <v>1010</v>
      </c>
      <c r="D109" s="42" t="s">
        <v>417</v>
      </c>
      <c r="E109" s="19" t="s">
        <v>418</v>
      </c>
      <c r="F109" s="4"/>
      <c r="G109" s="16" t="s">
        <v>110</v>
      </c>
      <c r="H109" s="19" t="s">
        <v>419</v>
      </c>
      <c r="I109" s="19"/>
      <c r="J109" s="9" t="s">
        <v>420</v>
      </c>
      <c r="K109" s="5" t="s">
        <v>828</v>
      </c>
      <c r="L109" s="4"/>
      <c r="M109" s="5"/>
      <c r="N109" s="5"/>
      <c r="O109" s="5"/>
      <c r="P109" s="5"/>
      <c r="Q109" s="5"/>
      <c r="R109" s="5"/>
    </row>
    <row r="110" spans="1:19" s="2" customFormat="1" ht="27.6" x14ac:dyDescent="0.3">
      <c r="B110" s="4">
        <v>106</v>
      </c>
      <c r="C110" s="16">
        <v>913</v>
      </c>
      <c r="D110" s="42" t="s">
        <v>421</v>
      </c>
      <c r="E110" s="19" t="s">
        <v>422</v>
      </c>
      <c r="F110" s="4"/>
      <c r="G110" s="16" t="s">
        <v>110</v>
      </c>
      <c r="H110" s="19" t="s">
        <v>423</v>
      </c>
      <c r="I110" s="19"/>
      <c r="J110" s="9" t="s">
        <v>424</v>
      </c>
      <c r="K110" s="5" t="s">
        <v>829</v>
      </c>
      <c r="L110" s="4"/>
      <c r="M110" s="5"/>
      <c r="N110" s="5"/>
      <c r="O110" s="5"/>
      <c r="P110" s="5"/>
      <c r="Q110" s="5"/>
      <c r="R110" s="5"/>
    </row>
    <row r="111" spans="1:19" s="2" customFormat="1" ht="27.6" x14ac:dyDescent="0.3">
      <c r="B111" s="4">
        <v>107</v>
      </c>
      <c r="C111" s="16">
        <v>1109</v>
      </c>
      <c r="D111" s="42" t="s">
        <v>425</v>
      </c>
      <c r="E111" s="19" t="s">
        <v>426</v>
      </c>
      <c r="F111" s="4"/>
      <c r="G111" s="16" t="s">
        <v>110</v>
      </c>
      <c r="H111" s="18" t="s">
        <v>427</v>
      </c>
      <c r="I111" s="18" t="s">
        <v>427</v>
      </c>
      <c r="J111" s="17" t="s">
        <v>428</v>
      </c>
      <c r="K111" s="5" t="s">
        <v>830</v>
      </c>
      <c r="L111" s="4"/>
      <c r="M111" s="5"/>
      <c r="N111" s="5"/>
      <c r="O111" s="5"/>
      <c r="P111" s="5"/>
      <c r="Q111" s="5"/>
      <c r="R111" s="5"/>
    </row>
    <row r="112" spans="1:19" s="2" customFormat="1" ht="27.6" x14ac:dyDescent="0.3">
      <c r="B112" s="4">
        <v>108</v>
      </c>
      <c r="C112" s="16">
        <v>945</v>
      </c>
      <c r="D112" s="42" t="s">
        <v>429</v>
      </c>
      <c r="E112" s="19" t="s">
        <v>430</v>
      </c>
      <c r="F112" s="4"/>
      <c r="G112" s="16" t="s">
        <v>16</v>
      </c>
      <c r="H112" s="19" t="s">
        <v>1227</v>
      </c>
      <c r="I112" s="19" t="s">
        <v>1228</v>
      </c>
      <c r="J112" s="19" t="s">
        <v>114</v>
      </c>
      <c r="K112" s="5" t="s">
        <v>768</v>
      </c>
      <c r="L112" s="4"/>
      <c r="M112" s="5"/>
      <c r="N112" s="5"/>
      <c r="O112" s="5"/>
      <c r="P112" s="5"/>
      <c r="Q112" s="5"/>
      <c r="R112" s="5"/>
    </row>
    <row r="113" spans="2:18" s="2" customFormat="1" ht="27.6" x14ac:dyDescent="0.3">
      <c r="B113" s="4">
        <v>109</v>
      </c>
      <c r="C113" s="30">
        <v>170604</v>
      </c>
      <c r="D113" s="30" t="s">
        <v>431</v>
      </c>
      <c r="E113" s="31" t="s">
        <v>432</v>
      </c>
      <c r="F113" s="30">
        <v>8778529</v>
      </c>
      <c r="G113" s="30" t="s">
        <v>1226</v>
      </c>
      <c r="H113" s="5"/>
      <c r="I113" s="30" t="s">
        <v>435</v>
      </c>
      <c r="J113" s="17" t="s">
        <v>436</v>
      </c>
      <c r="K113" s="5" t="s">
        <v>812</v>
      </c>
      <c r="L113" s="30" t="s">
        <v>686</v>
      </c>
      <c r="M113" s="31" t="s">
        <v>432</v>
      </c>
      <c r="N113" s="5"/>
      <c r="O113" s="5">
        <v>75</v>
      </c>
      <c r="P113" s="36">
        <v>100000</v>
      </c>
      <c r="Q113" s="5"/>
      <c r="R113" s="5"/>
    </row>
    <row r="114" spans="2:18" s="2" customFormat="1" ht="27.6" x14ac:dyDescent="0.3">
      <c r="B114" s="4">
        <v>110</v>
      </c>
      <c r="C114" s="16">
        <v>988</v>
      </c>
      <c r="D114" s="42" t="s">
        <v>437</v>
      </c>
      <c r="E114" s="19" t="s">
        <v>438</v>
      </c>
      <c r="F114" s="4"/>
      <c r="G114" s="16" t="s">
        <v>16</v>
      </c>
      <c r="H114" s="19"/>
      <c r="I114" s="19"/>
      <c r="J114" s="9" t="s">
        <v>439</v>
      </c>
      <c r="K114" s="5" t="s">
        <v>831</v>
      </c>
      <c r="L114" s="4"/>
      <c r="M114" s="5"/>
      <c r="N114" s="5"/>
      <c r="O114" s="5"/>
      <c r="P114" s="5"/>
      <c r="Q114" s="5"/>
      <c r="R114" s="5"/>
    </row>
    <row r="115" spans="2:18" s="2" customFormat="1" ht="69" x14ac:dyDescent="0.3">
      <c r="B115" s="4">
        <v>111</v>
      </c>
      <c r="C115" s="16" t="s">
        <v>442</v>
      </c>
      <c r="D115" s="4" t="s">
        <v>440</v>
      </c>
      <c r="E115" s="19" t="s">
        <v>441</v>
      </c>
      <c r="F115" s="4">
        <v>5361256</v>
      </c>
      <c r="G115" s="4" t="s">
        <v>1230</v>
      </c>
      <c r="H115" s="18" t="s">
        <v>443</v>
      </c>
      <c r="I115" s="18"/>
      <c r="J115" s="17" t="s">
        <v>444</v>
      </c>
      <c r="K115" s="5" t="s">
        <v>769</v>
      </c>
      <c r="L115" s="4" t="s">
        <v>686</v>
      </c>
      <c r="M115" s="19" t="s">
        <v>441</v>
      </c>
      <c r="N115" s="20" t="s">
        <v>1237</v>
      </c>
      <c r="O115" s="5"/>
      <c r="P115" s="36">
        <v>100000</v>
      </c>
      <c r="Q115" s="5"/>
      <c r="R115" s="5"/>
    </row>
    <row r="116" spans="2:18" s="2" customFormat="1" ht="27.6" x14ac:dyDescent="0.3">
      <c r="B116" s="4">
        <v>112</v>
      </c>
      <c r="C116" s="16">
        <v>736</v>
      </c>
      <c r="D116" s="42" t="s">
        <v>445</v>
      </c>
      <c r="E116" s="19" t="s">
        <v>446</v>
      </c>
      <c r="F116" s="4"/>
      <c r="G116" s="16" t="s">
        <v>16</v>
      </c>
      <c r="H116" s="19" t="s">
        <v>447</v>
      </c>
      <c r="I116" s="19"/>
      <c r="J116" s="19" t="s">
        <v>114</v>
      </c>
      <c r="K116" s="5" t="s">
        <v>832</v>
      </c>
      <c r="L116" s="4"/>
      <c r="M116" s="5"/>
      <c r="N116" s="5"/>
      <c r="O116" s="5"/>
      <c r="P116" s="5"/>
      <c r="Q116" s="5"/>
      <c r="R116" s="5"/>
    </row>
    <row r="117" spans="2:18" s="2" customFormat="1" ht="27.6" x14ac:dyDescent="0.3">
      <c r="B117" s="4">
        <v>113</v>
      </c>
      <c r="C117" s="16">
        <v>737</v>
      </c>
      <c r="D117" s="42" t="s">
        <v>448</v>
      </c>
      <c r="E117" s="19" t="s">
        <v>449</v>
      </c>
      <c r="F117" s="4"/>
      <c r="G117" s="16" t="s">
        <v>16</v>
      </c>
      <c r="H117" s="19" t="s">
        <v>450</v>
      </c>
      <c r="I117" s="19"/>
      <c r="J117" s="9" t="s">
        <v>451</v>
      </c>
      <c r="K117" s="5" t="s">
        <v>833</v>
      </c>
      <c r="L117" s="4"/>
      <c r="M117" s="5"/>
      <c r="N117" s="5"/>
      <c r="O117" s="5"/>
      <c r="P117" s="5"/>
      <c r="Q117" s="5"/>
      <c r="R117" s="5"/>
    </row>
    <row r="118" spans="2:18" s="2" customFormat="1" ht="27.6" x14ac:dyDescent="0.3">
      <c r="B118" s="4">
        <v>114</v>
      </c>
      <c r="C118" s="16">
        <v>1106</v>
      </c>
      <c r="D118" s="42" t="s">
        <v>452</v>
      </c>
      <c r="E118" s="19" t="s">
        <v>453</v>
      </c>
      <c r="F118" s="4"/>
      <c r="G118" s="16" t="s">
        <v>110</v>
      </c>
      <c r="H118" s="19" t="s">
        <v>454</v>
      </c>
      <c r="I118" s="20"/>
      <c r="J118" s="9" t="s">
        <v>455</v>
      </c>
      <c r="K118" s="5" t="s">
        <v>834</v>
      </c>
      <c r="L118" s="4"/>
      <c r="M118" s="5"/>
      <c r="N118" s="5"/>
      <c r="O118" s="5"/>
      <c r="P118" s="5"/>
      <c r="Q118" s="5"/>
      <c r="R118" s="5"/>
    </row>
    <row r="119" spans="2:18" s="2" customFormat="1" ht="27.6" x14ac:dyDescent="0.3">
      <c r="B119" s="4">
        <v>115</v>
      </c>
      <c r="C119" s="16">
        <v>1042</v>
      </c>
      <c r="D119" s="4" t="s">
        <v>456</v>
      </c>
      <c r="E119" s="19" t="s">
        <v>457</v>
      </c>
      <c r="F119" s="4">
        <v>3392801</v>
      </c>
      <c r="G119" s="16" t="s">
        <v>1239</v>
      </c>
      <c r="H119" s="19" t="s">
        <v>458</v>
      </c>
      <c r="I119" s="20" t="s">
        <v>1240</v>
      </c>
      <c r="J119" s="23" t="s">
        <v>1241</v>
      </c>
      <c r="K119" s="5" t="s">
        <v>1242</v>
      </c>
      <c r="L119" s="4"/>
      <c r="M119" s="19" t="s">
        <v>457</v>
      </c>
      <c r="N119" s="5" t="s">
        <v>1249</v>
      </c>
      <c r="O119" s="5">
        <v>6</v>
      </c>
      <c r="P119" s="36">
        <v>50000</v>
      </c>
      <c r="Q119" s="5"/>
      <c r="R119" s="5"/>
    </row>
    <row r="120" spans="2:18" s="2" customFormat="1" ht="27.6" x14ac:dyDescent="0.3">
      <c r="B120" s="4">
        <v>116</v>
      </c>
      <c r="C120" s="16">
        <v>0</v>
      </c>
      <c r="D120" s="42" t="s">
        <v>459</v>
      </c>
      <c r="E120" s="19" t="s">
        <v>460</v>
      </c>
      <c r="F120" s="4"/>
      <c r="G120" s="16" t="s">
        <v>60</v>
      </c>
      <c r="H120" s="68" t="s">
        <v>461</v>
      </c>
      <c r="I120" s="68"/>
      <c r="J120" s="17" t="s">
        <v>462</v>
      </c>
      <c r="K120" s="5" t="s">
        <v>760</v>
      </c>
      <c r="L120" s="4"/>
      <c r="M120" s="5"/>
      <c r="N120" s="5"/>
      <c r="O120" s="5"/>
      <c r="P120" s="5"/>
      <c r="Q120" s="5"/>
      <c r="R120" s="5"/>
    </row>
    <row r="121" spans="2:18" s="2" customFormat="1" ht="27.6" x14ac:dyDescent="0.3">
      <c r="B121" s="4">
        <v>117</v>
      </c>
      <c r="C121" s="16">
        <v>778</v>
      </c>
      <c r="D121" s="42" t="s">
        <v>463</v>
      </c>
      <c r="E121" s="19" t="s">
        <v>464</v>
      </c>
      <c r="F121" s="4"/>
      <c r="G121" s="16" t="s">
        <v>16</v>
      </c>
      <c r="H121" s="19" t="s">
        <v>465</v>
      </c>
      <c r="I121" s="19"/>
      <c r="J121" s="19" t="s">
        <v>114</v>
      </c>
      <c r="K121" s="5" t="s">
        <v>836</v>
      </c>
      <c r="L121" s="4"/>
      <c r="M121" s="5"/>
      <c r="N121" s="5"/>
      <c r="O121" s="5"/>
      <c r="P121" s="5"/>
      <c r="Q121" s="5"/>
      <c r="R121" s="5"/>
    </row>
    <row r="122" spans="2:18" s="2" customFormat="1" ht="27.6" x14ac:dyDescent="0.3">
      <c r="B122" s="4">
        <v>118</v>
      </c>
      <c r="C122" s="16">
        <v>525</v>
      </c>
      <c r="D122" s="42" t="s">
        <v>466</v>
      </c>
      <c r="E122" s="19" t="s">
        <v>467</v>
      </c>
      <c r="F122" s="4"/>
      <c r="G122" s="16" t="s">
        <v>6</v>
      </c>
      <c r="H122" s="19" t="s">
        <v>468</v>
      </c>
      <c r="I122" s="20"/>
      <c r="J122" s="9" t="s">
        <v>469</v>
      </c>
      <c r="K122" s="5" t="s">
        <v>837</v>
      </c>
      <c r="L122" s="4"/>
      <c r="M122" s="5"/>
      <c r="N122" s="5"/>
      <c r="O122" s="5"/>
      <c r="P122" s="5"/>
      <c r="Q122" s="5"/>
      <c r="R122" s="5"/>
    </row>
    <row r="123" spans="2:18" s="2" customFormat="1" ht="27.6" x14ac:dyDescent="0.3">
      <c r="B123" s="4">
        <v>119</v>
      </c>
      <c r="C123" s="16">
        <v>770</v>
      </c>
      <c r="D123" s="42" t="s">
        <v>470</v>
      </c>
      <c r="E123" s="19" t="s">
        <v>471</v>
      </c>
      <c r="F123" s="4"/>
      <c r="G123" s="16" t="s">
        <v>16</v>
      </c>
      <c r="H123" s="19" t="s">
        <v>472</v>
      </c>
      <c r="I123" s="19"/>
      <c r="J123" s="9" t="s">
        <v>473</v>
      </c>
      <c r="K123" s="5" t="s">
        <v>838</v>
      </c>
      <c r="L123" s="4"/>
      <c r="M123" s="5"/>
      <c r="N123" s="5"/>
      <c r="O123" s="5"/>
      <c r="P123" s="5"/>
      <c r="Q123" s="5"/>
      <c r="R123" s="5"/>
    </row>
    <row r="124" spans="2:18" s="2" customFormat="1" ht="27.6" x14ac:dyDescent="0.3">
      <c r="B124" s="4">
        <v>120</v>
      </c>
      <c r="C124" s="16">
        <v>846</v>
      </c>
      <c r="D124" s="42" t="s">
        <v>474</v>
      </c>
      <c r="E124" s="19" t="s">
        <v>475</v>
      </c>
      <c r="F124" s="4"/>
      <c r="G124" s="16" t="s">
        <v>110</v>
      </c>
      <c r="H124" s="19" t="s">
        <v>476</v>
      </c>
      <c r="I124" s="20"/>
      <c r="J124" s="9" t="s">
        <v>477</v>
      </c>
      <c r="K124" s="5" t="s">
        <v>808</v>
      </c>
      <c r="L124" s="4"/>
      <c r="M124" s="5"/>
      <c r="N124" s="5"/>
      <c r="O124" s="5"/>
      <c r="P124" s="5"/>
      <c r="Q124" s="5"/>
      <c r="R124" s="5"/>
    </row>
    <row r="125" spans="2:18" s="2" customFormat="1" ht="13.8" x14ac:dyDescent="0.3">
      <c r="B125" s="4">
        <v>121</v>
      </c>
      <c r="C125" s="16">
        <v>1002</v>
      </c>
      <c r="D125" s="42" t="s">
        <v>478</v>
      </c>
      <c r="E125" s="19" t="s">
        <v>479</v>
      </c>
      <c r="F125" s="4"/>
      <c r="G125" s="16" t="s">
        <v>16</v>
      </c>
      <c r="H125" s="19" t="s">
        <v>480</v>
      </c>
      <c r="I125" s="19"/>
      <c r="J125" s="19" t="s">
        <v>114</v>
      </c>
      <c r="K125" s="5" t="s">
        <v>839</v>
      </c>
      <c r="L125" s="4"/>
      <c r="M125" s="5"/>
      <c r="N125" s="5"/>
      <c r="O125" s="5"/>
      <c r="P125" s="5"/>
      <c r="Q125" s="5"/>
      <c r="R125" s="5"/>
    </row>
    <row r="126" spans="2:18" s="2" customFormat="1" ht="82.8" x14ac:dyDescent="0.3">
      <c r="B126" s="4">
        <v>122</v>
      </c>
      <c r="C126" s="30">
        <v>1100</v>
      </c>
      <c r="D126" s="30" t="s">
        <v>481</v>
      </c>
      <c r="E126" s="31" t="s">
        <v>482</v>
      </c>
      <c r="F126" s="30">
        <v>6613423</v>
      </c>
      <c r="G126" s="30" t="s">
        <v>1259</v>
      </c>
      <c r="H126" s="30" t="s">
        <v>12</v>
      </c>
      <c r="I126" s="30">
        <v>3458287080</v>
      </c>
      <c r="J126" s="17" t="s">
        <v>485</v>
      </c>
      <c r="K126" s="5" t="s">
        <v>840</v>
      </c>
      <c r="L126" s="30"/>
      <c r="M126" s="31" t="s">
        <v>482</v>
      </c>
      <c r="N126" s="20" t="s">
        <v>1264</v>
      </c>
      <c r="O126" s="5">
        <v>2</v>
      </c>
      <c r="P126" s="36">
        <v>50000</v>
      </c>
      <c r="Q126" s="5"/>
      <c r="R126" s="5"/>
    </row>
    <row r="127" spans="2:18" s="2" customFormat="1" ht="13.8" x14ac:dyDescent="0.3">
      <c r="B127" s="4">
        <v>123</v>
      </c>
      <c r="C127" s="16">
        <v>1062</v>
      </c>
      <c r="D127" s="42" t="s">
        <v>486</v>
      </c>
      <c r="E127" s="19" t="s">
        <v>487</v>
      </c>
      <c r="F127" s="4"/>
      <c r="G127" s="16" t="s">
        <v>16</v>
      </c>
      <c r="H127" s="19" t="s">
        <v>488</v>
      </c>
      <c r="I127" s="19"/>
      <c r="J127" s="19" t="s">
        <v>489</v>
      </c>
      <c r="K127" s="5" t="s">
        <v>841</v>
      </c>
      <c r="L127" s="4"/>
      <c r="M127" s="5"/>
      <c r="N127" s="5"/>
      <c r="O127" s="5"/>
      <c r="P127" s="5"/>
      <c r="Q127" s="5"/>
      <c r="R127" s="5"/>
    </row>
    <row r="128" spans="2:18" s="2" customFormat="1" ht="41.4" x14ac:dyDescent="0.3">
      <c r="B128" s="4">
        <v>124</v>
      </c>
      <c r="C128" s="16">
        <v>855</v>
      </c>
      <c r="D128" s="42" t="s">
        <v>490</v>
      </c>
      <c r="E128" s="19" t="s">
        <v>491</v>
      </c>
      <c r="F128" s="4"/>
      <c r="G128" s="16" t="s">
        <v>16</v>
      </c>
      <c r="H128" s="19" t="s">
        <v>492</v>
      </c>
      <c r="I128" s="20"/>
      <c r="J128" s="9" t="s">
        <v>493</v>
      </c>
      <c r="K128" s="5" t="s">
        <v>842</v>
      </c>
      <c r="L128" s="4"/>
      <c r="M128" s="5"/>
      <c r="N128" s="5"/>
      <c r="O128" s="5"/>
      <c r="P128" s="5"/>
      <c r="Q128" s="5"/>
      <c r="R128" s="5"/>
    </row>
    <row r="129" spans="1:19" s="2" customFormat="1" ht="41.4" x14ac:dyDescent="0.3">
      <c r="B129" s="4">
        <v>125</v>
      </c>
      <c r="C129" s="30" t="s">
        <v>496</v>
      </c>
      <c r="D129" s="30" t="s">
        <v>494</v>
      </c>
      <c r="E129" s="31" t="s">
        <v>495</v>
      </c>
      <c r="F129" s="30">
        <v>4541789</v>
      </c>
      <c r="G129" s="5" t="s">
        <v>1266</v>
      </c>
      <c r="H129" s="30" t="s">
        <v>257</v>
      </c>
      <c r="I129" s="30" t="s">
        <v>12</v>
      </c>
      <c r="J129" s="17" t="s">
        <v>497</v>
      </c>
      <c r="K129" s="5" t="s">
        <v>794</v>
      </c>
      <c r="L129" s="30" t="s">
        <v>686</v>
      </c>
      <c r="M129" s="31" t="s">
        <v>495</v>
      </c>
      <c r="N129" s="20" t="s">
        <v>1267</v>
      </c>
      <c r="O129" s="5">
        <v>70</v>
      </c>
      <c r="P129" s="36">
        <v>100000</v>
      </c>
      <c r="Q129" s="5"/>
      <c r="R129" s="5"/>
    </row>
    <row r="130" spans="1:19" s="2" customFormat="1" ht="27.6" x14ac:dyDescent="0.3">
      <c r="B130" s="4">
        <v>126</v>
      </c>
      <c r="C130" s="16">
        <v>976</v>
      </c>
      <c r="D130" s="42" t="s">
        <v>498</v>
      </c>
      <c r="E130" s="19" t="s">
        <v>499</v>
      </c>
      <c r="F130" s="4"/>
      <c r="G130" s="16" t="s">
        <v>16</v>
      </c>
      <c r="H130" s="19"/>
      <c r="I130" s="19"/>
      <c r="J130" s="9" t="s">
        <v>500</v>
      </c>
      <c r="K130" s="5" t="s">
        <v>843</v>
      </c>
      <c r="L130" s="4"/>
      <c r="M130" s="5"/>
      <c r="N130" s="5"/>
      <c r="O130" s="5"/>
      <c r="P130" s="36"/>
      <c r="Q130" s="5"/>
      <c r="R130" s="5"/>
    </row>
    <row r="131" spans="1:19" s="2" customFormat="1" ht="27.6" x14ac:dyDescent="0.3">
      <c r="A131" s="62">
        <v>45871</v>
      </c>
      <c r="B131" s="4">
        <v>127</v>
      </c>
      <c r="C131" s="16">
        <v>1083</v>
      </c>
      <c r="D131" s="42" t="s">
        <v>501</v>
      </c>
      <c r="E131" s="19" t="s">
        <v>502</v>
      </c>
      <c r="F131" s="4"/>
      <c r="G131" s="16" t="s">
        <v>16</v>
      </c>
      <c r="H131" s="19" t="s">
        <v>503</v>
      </c>
      <c r="I131" s="19"/>
      <c r="J131" s="9" t="s">
        <v>504</v>
      </c>
      <c r="K131" s="5" t="s">
        <v>844</v>
      </c>
      <c r="L131" s="4"/>
      <c r="M131" s="5"/>
      <c r="N131" s="5"/>
      <c r="O131" s="5"/>
      <c r="P131" s="5"/>
      <c r="Q131" s="5"/>
      <c r="R131" s="5"/>
      <c r="S131" s="2" t="s">
        <v>1450</v>
      </c>
    </row>
    <row r="132" spans="1:19" s="2" customFormat="1" ht="69" x14ac:dyDescent="0.3">
      <c r="B132" s="4">
        <v>128</v>
      </c>
      <c r="C132" s="30">
        <v>197990</v>
      </c>
      <c r="D132" s="30" t="s">
        <v>505</v>
      </c>
      <c r="E132" s="31" t="s">
        <v>506</v>
      </c>
      <c r="F132" s="30">
        <v>887657</v>
      </c>
      <c r="G132" s="5" t="s">
        <v>1269</v>
      </c>
      <c r="H132" s="30" t="s">
        <v>12</v>
      </c>
      <c r="I132" s="30" t="s">
        <v>509</v>
      </c>
      <c r="J132" s="17" t="s">
        <v>510</v>
      </c>
      <c r="K132" s="5" t="s">
        <v>845</v>
      </c>
      <c r="L132" s="30" t="s">
        <v>686</v>
      </c>
      <c r="M132" s="31" t="s">
        <v>506</v>
      </c>
      <c r="N132" s="20" t="s">
        <v>1272</v>
      </c>
      <c r="O132" s="5">
        <v>1</v>
      </c>
      <c r="P132" s="36">
        <v>100000</v>
      </c>
      <c r="Q132" s="5"/>
      <c r="R132" s="5"/>
    </row>
    <row r="133" spans="1:19" s="2" customFormat="1" ht="165.6" x14ac:dyDescent="0.3">
      <c r="A133" s="63" t="s">
        <v>1466</v>
      </c>
      <c r="B133" s="4">
        <v>129</v>
      </c>
      <c r="C133" s="30">
        <v>186403</v>
      </c>
      <c r="D133" s="30" t="s">
        <v>511</v>
      </c>
      <c r="E133" s="31" t="s">
        <v>512</v>
      </c>
      <c r="F133" s="30">
        <v>4743776</v>
      </c>
      <c r="G133" s="5" t="s">
        <v>1274</v>
      </c>
      <c r="H133" s="30" t="s">
        <v>12</v>
      </c>
      <c r="I133" s="30">
        <v>3009380066</v>
      </c>
      <c r="J133" s="17" t="s">
        <v>515</v>
      </c>
      <c r="K133" s="5" t="s">
        <v>758</v>
      </c>
      <c r="L133" s="30" t="s">
        <v>686</v>
      </c>
      <c r="M133" s="31" t="s">
        <v>512</v>
      </c>
      <c r="N133" s="5"/>
      <c r="O133" s="5">
        <v>3</v>
      </c>
      <c r="P133" s="36">
        <v>100000</v>
      </c>
      <c r="Q133" s="5"/>
      <c r="R133" s="5"/>
      <c r="S133" s="63" t="s">
        <v>1467</v>
      </c>
    </row>
    <row r="134" spans="1:19" s="2" customFormat="1" ht="27.6" x14ac:dyDescent="0.3">
      <c r="B134" s="4">
        <v>130</v>
      </c>
      <c r="C134" s="16">
        <v>1098</v>
      </c>
      <c r="D134" s="42" t="s">
        <v>516</v>
      </c>
      <c r="E134" s="19" t="s">
        <v>517</v>
      </c>
      <c r="F134" s="4"/>
      <c r="G134" s="16" t="s">
        <v>16</v>
      </c>
      <c r="H134" s="19">
        <v>3337805973</v>
      </c>
      <c r="I134" s="20"/>
      <c r="J134" s="9" t="s">
        <v>518</v>
      </c>
      <c r="K134" s="5" t="s">
        <v>846</v>
      </c>
      <c r="L134" s="4"/>
      <c r="M134" s="5"/>
      <c r="N134" s="5"/>
      <c r="O134" s="5"/>
      <c r="P134" s="5"/>
      <c r="Q134" s="5"/>
      <c r="R134" s="5"/>
    </row>
    <row r="135" spans="1:19" s="2" customFormat="1" ht="27.6" x14ac:dyDescent="0.3">
      <c r="B135" s="4">
        <v>131</v>
      </c>
      <c r="C135" s="16">
        <v>1101</v>
      </c>
      <c r="D135" s="4" t="s">
        <v>519</v>
      </c>
      <c r="E135" s="19" t="s">
        <v>520</v>
      </c>
      <c r="F135" s="4" t="s">
        <v>1279</v>
      </c>
      <c r="G135" s="16" t="s">
        <v>1278</v>
      </c>
      <c r="H135" s="19" t="s">
        <v>521</v>
      </c>
      <c r="I135" s="19"/>
      <c r="J135" s="9" t="s">
        <v>522</v>
      </c>
      <c r="K135" s="5" t="s">
        <v>774</v>
      </c>
      <c r="L135" s="4" t="s">
        <v>686</v>
      </c>
      <c r="M135" s="19" t="s">
        <v>520</v>
      </c>
      <c r="N135" s="5"/>
      <c r="O135" s="5"/>
      <c r="P135" s="5"/>
      <c r="Q135" s="5"/>
      <c r="R135" s="5"/>
    </row>
    <row r="136" spans="1:19" s="2" customFormat="1" ht="27.6" x14ac:dyDescent="0.3">
      <c r="B136" s="4">
        <v>132</v>
      </c>
      <c r="C136" s="16">
        <v>0</v>
      </c>
      <c r="D136" s="42" t="s">
        <v>523</v>
      </c>
      <c r="E136" s="19" t="s">
        <v>524</v>
      </c>
      <c r="F136" s="4"/>
      <c r="G136" s="16" t="s">
        <v>60</v>
      </c>
      <c r="H136" s="19" t="s">
        <v>525</v>
      </c>
      <c r="I136" s="19" t="s">
        <v>525</v>
      </c>
      <c r="J136" s="9" t="s">
        <v>526</v>
      </c>
      <c r="K136" s="5" t="s">
        <v>760</v>
      </c>
      <c r="L136" s="4"/>
      <c r="M136" s="5"/>
      <c r="N136" s="5"/>
      <c r="O136" s="5"/>
      <c r="P136" s="5"/>
      <c r="Q136" s="5"/>
      <c r="R136" s="5"/>
    </row>
    <row r="137" spans="1:19" s="2" customFormat="1" ht="55.2" x14ac:dyDescent="0.3">
      <c r="B137" s="4">
        <v>133</v>
      </c>
      <c r="C137" s="16">
        <v>1096</v>
      </c>
      <c r="D137" s="4" t="s">
        <v>527</v>
      </c>
      <c r="E137" s="19" t="s">
        <v>528</v>
      </c>
      <c r="F137" s="29">
        <v>5440048873679</v>
      </c>
      <c r="G137" s="16" t="s">
        <v>1283</v>
      </c>
      <c r="H137" s="5"/>
      <c r="I137" s="5" t="s">
        <v>525</v>
      </c>
      <c r="J137" s="50" t="s">
        <v>526</v>
      </c>
      <c r="K137" s="5" t="s">
        <v>1284</v>
      </c>
      <c r="L137" s="4" t="s">
        <v>686</v>
      </c>
      <c r="M137" s="19" t="s">
        <v>528</v>
      </c>
      <c r="N137" s="20" t="s">
        <v>1291</v>
      </c>
      <c r="O137" s="5"/>
      <c r="P137" s="36">
        <v>50000</v>
      </c>
      <c r="Q137" s="5"/>
      <c r="R137" s="5"/>
    </row>
    <row r="138" spans="1:19" s="2" customFormat="1" ht="27.6" x14ac:dyDescent="0.3">
      <c r="B138" s="4">
        <v>134</v>
      </c>
      <c r="C138" s="16">
        <v>968</v>
      </c>
      <c r="D138" s="42" t="s">
        <v>529</v>
      </c>
      <c r="E138" s="19" t="s">
        <v>530</v>
      </c>
      <c r="F138" s="4"/>
      <c r="G138" s="16" t="s">
        <v>16</v>
      </c>
      <c r="H138" s="19"/>
      <c r="I138" s="19" t="s">
        <v>531</v>
      </c>
      <c r="J138" s="19" t="s">
        <v>114</v>
      </c>
      <c r="K138" s="5" t="s">
        <v>847</v>
      </c>
      <c r="L138" s="4"/>
      <c r="M138" s="5"/>
      <c r="N138" s="5"/>
      <c r="O138" s="5"/>
      <c r="P138" s="5"/>
      <c r="Q138" s="5"/>
      <c r="R138" s="5"/>
    </row>
    <row r="139" spans="1:19" s="2" customFormat="1" ht="41.4" x14ac:dyDescent="0.3">
      <c r="B139" s="4">
        <v>135</v>
      </c>
      <c r="C139" s="30">
        <v>144448</v>
      </c>
      <c r="D139" s="30" t="s">
        <v>532</v>
      </c>
      <c r="E139" s="31" t="s">
        <v>533</v>
      </c>
      <c r="F139" s="30">
        <v>6657066</v>
      </c>
      <c r="G139" s="5" t="s">
        <v>1293</v>
      </c>
      <c r="H139" s="30" t="s">
        <v>12</v>
      </c>
      <c r="I139" s="30">
        <v>3314466801</v>
      </c>
      <c r="J139" s="14" t="s">
        <v>669</v>
      </c>
      <c r="K139" s="5" t="s">
        <v>848</v>
      </c>
      <c r="L139" s="30" t="s">
        <v>686</v>
      </c>
      <c r="M139" s="31" t="s">
        <v>533</v>
      </c>
      <c r="N139" s="20" t="s">
        <v>1295</v>
      </c>
      <c r="O139" s="5">
        <v>8</v>
      </c>
      <c r="P139" s="36">
        <v>100000</v>
      </c>
      <c r="Q139" s="5"/>
      <c r="R139" s="5"/>
    </row>
    <row r="140" spans="1:19" s="2" customFormat="1" ht="41.4" x14ac:dyDescent="0.3">
      <c r="B140" s="4">
        <v>136</v>
      </c>
      <c r="C140" s="16">
        <v>1105</v>
      </c>
      <c r="D140" s="4" t="s">
        <v>536</v>
      </c>
      <c r="E140" s="19" t="s">
        <v>537</v>
      </c>
      <c r="F140" s="4" t="s">
        <v>1308</v>
      </c>
      <c r="G140" s="16" t="s">
        <v>1297</v>
      </c>
      <c r="H140" s="16" t="s">
        <v>1300</v>
      </c>
      <c r="I140" s="16" t="s">
        <v>1302</v>
      </c>
      <c r="J140" s="52" t="s">
        <v>1299</v>
      </c>
      <c r="K140" s="5" t="s">
        <v>1298</v>
      </c>
      <c r="L140" s="4" t="s">
        <v>942</v>
      </c>
      <c r="M140" s="19" t="s">
        <v>537</v>
      </c>
      <c r="N140" s="20" t="s">
        <v>1307</v>
      </c>
      <c r="O140" s="5">
        <v>122</v>
      </c>
      <c r="P140" s="36">
        <v>50000</v>
      </c>
      <c r="Q140" s="5"/>
      <c r="R140" s="5"/>
    </row>
    <row r="141" spans="1:19" s="2" customFormat="1" ht="27.6" x14ac:dyDescent="0.3">
      <c r="B141" s="4">
        <v>137</v>
      </c>
      <c r="C141" s="30">
        <v>3534799</v>
      </c>
      <c r="D141" s="30" t="s">
        <v>538</v>
      </c>
      <c r="E141" s="31" t="s">
        <v>539</v>
      </c>
      <c r="F141" s="30" t="s">
        <v>1334</v>
      </c>
      <c r="G141" s="5" t="s">
        <v>1333</v>
      </c>
      <c r="H141" s="30" t="s">
        <v>542</v>
      </c>
      <c r="I141" s="30" t="s">
        <v>12</v>
      </c>
      <c r="J141" s="17" t="s">
        <v>543</v>
      </c>
      <c r="K141" s="5" t="s">
        <v>849</v>
      </c>
      <c r="L141" s="30" t="s">
        <v>686</v>
      </c>
      <c r="M141" s="31" t="s">
        <v>539</v>
      </c>
      <c r="N141" s="5" t="s">
        <v>1336</v>
      </c>
      <c r="O141" s="5">
        <v>2</v>
      </c>
      <c r="P141" s="36">
        <v>100000</v>
      </c>
      <c r="Q141" s="5"/>
      <c r="R141" s="5"/>
    </row>
    <row r="142" spans="1:19" s="2" customFormat="1" ht="27.6" x14ac:dyDescent="0.3">
      <c r="B142" s="4">
        <v>138</v>
      </c>
      <c r="C142" s="30">
        <v>586</v>
      </c>
      <c r="D142" s="30" t="s">
        <v>544</v>
      </c>
      <c r="E142" s="31" t="s">
        <v>545</v>
      </c>
      <c r="F142" s="30" t="s">
        <v>1310</v>
      </c>
      <c r="G142" s="5" t="s">
        <v>1314</v>
      </c>
      <c r="H142" s="30">
        <v>2132465675</v>
      </c>
      <c r="I142" s="30" t="s">
        <v>12</v>
      </c>
      <c r="J142" s="17" t="s">
        <v>547</v>
      </c>
      <c r="K142" s="5" t="s">
        <v>850</v>
      </c>
      <c r="L142" s="30" t="s">
        <v>686</v>
      </c>
      <c r="M142" s="31" t="s">
        <v>545</v>
      </c>
      <c r="N142" s="5"/>
      <c r="O142" s="5"/>
      <c r="P142" s="5"/>
      <c r="Q142" s="5"/>
      <c r="R142" s="5"/>
    </row>
    <row r="143" spans="1:19" s="2" customFormat="1" ht="27.6" x14ac:dyDescent="0.3">
      <c r="B143" s="4">
        <v>139</v>
      </c>
      <c r="C143" s="16">
        <v>586</v>
      </c>
      <c r="D143" s="42" t="s">
        <v>548</v>
      </c>
      <c r="E143" s="19" t="s">
        <v>549</v>
      </c>
      <c r="F143" s="4"/>
      <c r="G143" s="16" t="s">
        <v>16</v>
      </c>
      <c r="H143" s="19" t="s">
        <v>550</v>
      </c>
      <c r="I143" s="19" t="s">
        <v>551</v>
      </c>
      <c r="J143" s="9" t="s">
        <v>552</v>
      </c>
      <c r="K143" s="5" t="s">
        <v>850</v>
      </c>
      <c r="L143" s="4"/>
      <c r="M143" s="5"/>
      <c r="N143" s="5"/>
      <c r="O143" s="5"/>
      <c r="P143" s="5"/>
      <c r="Q143" s="5"/>
      <c r="R143" s="5"/>
    </row>
    <row r="144" spans="1:19" s="2" customFormat="1" ht="69" x14ac:dyDescent="0.3">
      <c r="B144" s="4">
        <v>140</v>
      </c>
      <c r="C144" s="16">
        <v>1074</v>
      </c>
      <c r="D144" s="4" t="s">
        <v>553</v>
      </c>
      <c r="E144" s="19" t="s">
        <v>1320</v>
      </c>
      <c r="F144" s="29">
        <v>5430207818055</v>
      </c>
      <c r="G144" s="16" t="s">
        <v>1316</v>
      </c>
      <c r="H144" s="16" t="s">
        <v>1319</v>
      </c>
      <c r="I144" s="16"/>
      <c r="J144" s="52" t="s">
        <v>1318</v>
      </c>
      <c r="K144" s="5" t="s">
        <v>1317</v>
      </c>
      <c r="L144" s="4" t="s">
        <v>686</v>
      </c>
      <c r="M144" s="19" t="s">
        <v>1320</v>
      </c>
      <c r="N144" s="20" t="s">
        <v>952</v>
      </c>
      <c r="O144" s="5">
        <v>10</v>
      </c>
      <c r="P144" s="36">
        <v>50000</v>
      </c>
      <c r="Q144" s="5"/>
      <c r="R144" s="5"/>
    </row>
    <row r="145" spans="1:19" s="2" customFormat="1" ht="124.2" x14ac:dyDescent="0.3">
      <c r="B145" s="4">
        <v>141</v>
      </c>
      <c r="C145" s="16">
        <v>1008</v>
      </c>
      <c r="D145" s="4" t="s">
        <v>554</v>
      </c>
      <c r="E145" s="19" t="s">
        <v>555</v>
      </c>
      <c r="F145" s="4">
        <v>2260263</v>
      </c>
      <c r="G145" s="16" t="s">
        <v>1326</v>
      </c>
      <c r="H145" s="19" t="s">
        <v>175</v>
      </c>
      <c r="I145" s="20"/>
      <c r="J145" s="9" t="s">
        <v>176</v>
      </c>
      <c r="K145" s="5" t="s">
        <v>804</v>
      </c>
      <c r="L145" s="4" t="s">
        <v>686</v>
      </c>
      <c r="M145" s="19" t="s">
        <v>555</v>
      </c>
      <c r="N145" s="20" t="s">
        <v>1331</v>
      </c>
      <c r="O145" s="5">
        <v>19</v>
      </c>
      <c r="P145" s="36">
        <v>50000</v>
      </c>
      <c r="Q145" s="5"/>
      <c r="R145" s="5"/>
    </row>
    <row r="146" spans="1:19" s="2" customFormat="1" ht="27.6" x14ac:dyDescent="0.3">
      <c r="B146" s="4">
        <v>142</v>
      </c>
      <c r="C146" s="16">
        <v>936</v>
      </c>
      <c r="D146" s="42" t="s">
        <v>556</v>
      </c>
      <c r="E146" s="19" t="s">
        <v>557</v>
      </c>
      <c r="F146" s="4"/>
      <c r="G146" s="16" t="s">
        <v>16</v>
      </c>
      <c r="H146" s="19">
        <v>4825016</v>
      </c>
      <c r="I146" s="19"/>
      <c r="J146" s="19"/>
      <c r="K146" s="5" t="s">
        <v>851</v>
      </c>
      <c r="L146" s="4"/>
      <c r="M146" s="5"/>
      <c r="N146" s="5"/>
      <c r="O146" s="5"/>
      <c r="P146" s="5"/>
      <c r="Q146" s="5"/>
      <c r="R146" s="5"/>
    </row>
    <row r="147" spans="1:19" s="2" customFormat="1" ht="27.6" x14ac:dyDescent="0.3">
      <c r="B147" s="4">
        <v>143</v>
      </c>
      <c r="C147" s="16">
        <v>0</v>
      </c>
      <c r="D147" s="42" t="s">
        <v>558</v>
      </c>
      <c r="E147" s="19" t="s">
        <v>559</v>
      </c>
      <c r="F147" s="4"/>
      <c r="G147" s="16" t="s">
        <v>60</v>
      </c>
      <c r="H147" s="18" t="s">
        <v>560</v>
      </c>
      <c r="I147" s="18" t="s">
        <v>561</v>
      </c>
      <c r="J147" s="17" t="s">
        <v>562</v>
      </c>
      <c r="K147" s="5" t="s">
        <v>760</v>
      </c>
      <c r="L147" s="4"/>
      <c r="M147" s="5"/>
      <c r="N147" s="5"/>
      <c r="O147" s="5"/>
      <c r="P147" s="5"/>
      <c r="Q147" s="5"/>
      <c r="R147" s="5"/>
    </row>
    <row r="148" spans="1:19" s="2" customFormat="1" x14ac:dyDescent="0.3">
      <c r="B148" s="4">
        <v>144</v>
      </c>
      <c r="C148" s="16"/>
      <c r="D148" s="4" t="s">
        <v>563</v>
      </c>
      <c r="E148" s="19" t="s">
        <v>563</v>
      </c>
      <c r="F148" s="4"/>
      <c r="G148" s="16"/>
      <c r="H148" s="16"/>
      <c r="I148" s="16"/>
      <c r="J148" s="52"/>
      <c r="K148" s="53"/>
      <c r="L148" s="4" t="s">
        <v>686</v>
      </c>
      <c r="M148" s="5"/>
      <c r="N148" s="5"/>
      <c r="O148" s="5"/>
      <c r="P148" s="5"/>
      <c r="Q148" s="5"/>
      <c r="R148" s="5"/>
    </row>
    <row r="149" spans="1:19" s="2" customFormat="1" ht="82.8" x14ac:dyDescent="0.3">
      <c r="B149" s="4">
        <v>145</v>
      </c>
      <c r="C149" s="16">
        <v>884</v>
      </c>
      <c r="D149" s="4" t="s">
        <v>564</v>
      </c>
      <c r="E149" s="19" t="s">
        <v>565</v>
      </c>
      <c r="F149" s="4" t="s">
        <v>1341</v>
      </c>
      <c r="G149" s="16" t="s">
        <v>1338</v>
      </c>
      <c r="H149" s="19" t="s">
        <v>566</v>
      </c>
      <c r="I149" s="20"/>
      <c r="J149" s="9" t="s">
        <v>567</v>
      </c>
      <c r="K149" s="5" t="s">
        <v>852</v>
      </c>
      <c r="L149" s="4" t="s">
        <v>686</v>
      </c>
      <c r="M149" s="19" t="s">
        <v>565</v>
      </c>
      <c r="N149" s="20" t="s">
        <v>1346</v>
      </c>
      <c r="O149" s="20" t="s">
        <v>1344</v>
      </c>
      <c r="P149" s="59" t="s">
        <v>1345</v>
      </c>
      <c r="Q149" s="5"/>
      <c r="R149" s="5"/>
    </row>
    <row r="150" spans="1:19" s="2" customFormat="1" ht="13.8" x14ac:dyDescent="0.3">
      <c r="B150" s="4">
        <v>146</v>
      </c>
      <c r="C150" s="16">
        <v>1028</v>
      </c>
      <c r="D150" s="42" t="s">
        <v>568</v>
      </c>
      <c r="E150" s="19" t="s">
        <v>568</v>
      </c>
      <c r="F150" s="4"/>
      <c r="G150" s="16" t="s">
        <v>16</v>
      </c>
      <c r="H150" s="19">
        <v>812445677</v>
      </c>
      <c r="I150" s="19"/>
      <c r="J150" s="19"/>
      <c r="K150" s="5" t="s">
        <v>778</v>
      </c>
      <c r="L150" s="4"/>
      <c r="M150" s="5"/>
      <c r="N150" s="5"/>
      <c r="O150" s="5"/>
      <c r="P150" s="5"/>
      <c r="Q150" s="5"/>
      <c r="R150" s="5"/>
      <c r="S150" s="2" t="s">
        <v>1468</v>
      </c>
    </row>
    <row r="151" spans="1:19" s="2" customFormat="1" ht="41.4" x14ac:dyDescent="0.3">
      <c r="B151" s="4">
        <v>147</v>
      </c>
      <c r="C151" s="16">
        <v>816</v>
      </c>
      <c r="D151" s="42" t="s">
        <v>569</v>
      </c>
      <c r="E151" s="19" t="s">
        <v>570</v>
      </c>
      <c r="F151" s="4"/>
      <c r="G151" s="16" t="s">
        <v>16</v>
      </c>
      <c r="H151" s="19" t="s">
        <v>571</v>
      </c>
      <c r="I151" s="19"/>
      <c r="J151" s="9" t="s">
        <v>572</v>
      </c>
      <c r="K151" s="5" t="s">
        <v>756</v>
      </c>
      <c r="L151" s="4"/>
      <c r="M151" s="5"/>
      <c r="N151" s="5"/>
      <c r="O151" s="5"/>
      <c r="P151" s="5"/>
      <c r="Q151" s="5"/>
      <c r="R151" s="5"/>
    </row>
    <row r="152" spans="1:19" s="2" customFormat="1" ht="82.8" x14ac:dyDescent="0.3">
      <c r="B152" s="4">
        <v>148</v>
      </c>
      <c r="C152" s="16">
        <v>4235444</v>
      </c>
      <c r="D152" s="4" t="s">
        <v>573</v>
      </c>
      <c r="E152" s="19" t="s">
        <v>574</v>
      </c>
      <c r="F152" s="4">
        <v>4235444</v>
      </c>
      <c r="G152" s="16" t="s">
        <v>1348</v>
      </c>
      <c r="H152" s="19" t="s">
        <v>575</v>
      </c>
      <c r="I152" s="19" t="s">
        <v>368</v>
      </c>
      <c r="J152" s="9" t="s">
        <v>576</v>
      </c>
      <c r="K152" s="5" t="s">
        <v>853</v>
      </c>
      <c r="L152" s="4" t="s">
        <v>686</v>
      </c>
      <c r="M152" s="19" t="s">
        <v>574</v>
      </c>
      <c r="N152" s="20" t="s">
        <v>1352</v>
      </c>
      <c r="O152" s="5">
        <v>15</v>
      </c>
      <c r="P152" s="36">
        <v>100000</v>
      </c>
      <c r="Q152" s="5"/>
      <c r="R152" s="5"/>
    </row>
    <row r="153" spans="1:19" s="2" customFormat="1" ht="55.2" x14ac:dyDescent="0.3">
      <c r="B153" s="4">
        <v>149</v>
      </c>
      <c r="C153" s="16">
        <v>835</v>
      </c>
      <c r="D153" s="4" t="s">
        <v>577</v>
      </c>
      <c r="E153" s="19" t="s">
        <v>578</v>
      </c>
      <c r="F153" s="4" t="s">
        <v>1355</v>
      </c>
      <c r="G153" s="16" t="s">
        <v>1354</v>
      </c>
      <c r="H153" s="19" t="s">
        <v>579</v>
      </c>
      <c r="I153" s="20" t="s">
        <v>1356</v>
      </c>
      <c r="J153" s="9" t="s">
        <v>580</v>
      </c>
      <c r="K153" s="5" t="s">
        <v>854</v>
      </c>
      <c r="L153" s="4" t="s">
        <v>686</v>
      </c>
      <c r="M153" s="19" t="s">
        <v>578</v>
      </c>
      <c r="N153" s="5" t="s">
        <v>1361</v>
      </c>
      <c r="O153" s="5">
        <v>4</v>
      </c>
      <c r="P153" s="36">
        <v>50000</v>
      </c>
      <c r="Q153" s="5"/>
      <c r="R153" s="5"/>
    </row>
    <row r="154" spans="1:19" s="2" customFormat="1" ht="27.6" x14ac:dyDescent="0.3">
      <c r="B154" s="4">
        <v>150</v>
      </c>
      <c r="C154" s="16">
        <v>0</v>
      </c>
      <c r="D154" s="42" t="s">
        <v>581</v>
      </c>
      <c r="E154" s="19" t="s">
        <v>582</v>
      </c>
      <c r="F154" s="4"/>
      <c r="G154" s="16" t="s">
        <v>60</v>
      </c>
      <c r="H154" s="18" t="s">
        <v>583</v>
      </c>
      <c r="I154" s="5"/>
      <c r="J154" s="17" t="s">
        <v>321</v>
      </c>
      <c r="K154" s="5" t="s">
        <v>760</v>
      </c>
      <c r="L154" s="4"/>
      <c r="M154" s="5"/>
      <c r="N154" s="5"/>
      <c r="O154" s="5"/>
      <c r="P154" s="5"/>
      <c r="Q154" s="5"/>
      <c r="R154" s="5"/>
    </row>
    <row r="155" spans="1:19" s="2" customFormat="1" ht="13.8" x14ac:dyDescent="0.3">
      <c r="B155" s="4">
        <v>151</v>
      </c>
      <c r="C155" s="16">
        <v>3923426</v>
      </c>
      <c r="D155" s="42" t="s">
        <v>584</v>
      </c>
      <c r="E155" s="19" t="s">
        <v>585</v>
      </c>
      <c r="F155" s="4"/>
      <c r="G155" s="16" t="s">
        <v>16</v>
      </c>
      <c r="H155" s="16"/>
      <c r="I155" s="16"/>
      <c r="J155" s="16"/>
      <c r="K155" s="5" t="s">
        <v>807</v>
      </c>
      <c r="L155" s="4"/>
      <c r="M155" s="5"/>
      <c r="N155" s="5"/>
      <c r="O155" s="5"/>
      <c r="P155" s="5"/>
      <c r="Q155" s="5"/>
      <c r="R155" s="5"/>
    </row>
    <row r="156" spans="1:19" s="2" customFormat="1" ht="55.2" x14ac:dyDescent="0.3">
      <c r="B156" s="4">
        <v>152</v>
      </c>
      <c r="C156" s="16">
        <v>1009</v>
      </c>
      <c r="D156" s="4" t="s">
        <v>586</v>
      </c>
      <c r="E156" s="16" t="s">
        <v>587</v>
      </c>
      <c r="F156" s="4">
        <v>1347581</v>
      </c>
      <c r="G156" s="16" t="s">
        <v>1365</v>
      </c>
      <c r="H156" s="19" t="s">
        <v>588</v>
      </c>
      <c r="I156" s="20"/>
      <c r="J156" s="9" t="s">
        <v>589</v>
      </c>
      <c r="K156" s="5" t="s">
        <v>855</v>
      </c>
      <c r="L156" s="4" t="s">
        <v>686</v>
      </c>
      <c r="M156" s="16" t="s">
        <v>587</v>
      </c>
      <c r="N156" s="20" t="s">
        <v>1372</v>
      </c>
      <c r="O156" s="5">
        <v>9</v>
      </c>
      <c r="P156" s="36">
        <v>50000</v>
      </c>
      <c r="Q156" s="5"/>
      <c r="R156" s="5"/>
    </row>
    <row r="157" spans="1:19" s="2" customFormat="1" ht="55.2" x14ac:dyDescent="0.3">
      <c r="B157" s="4">
        <v>153</v>
      </c>
      <c r="C157" s="16">
        <v>1064</v>
      </c>
      <c r="D157" s="4" t="s">
        <v>590</v>
      </c>
      <c r="E157" s="16" t="s">
        <v>1375</v>
      </c>
      <c r="F157" s="4" t="s">
        <v>1376</v>
      </c>
      <c r="G157" s="16" t="s">
        <v>1374</v>
      </c>
      <c r="H157" s="16" t="s">
        <v>588</v>
      </c>
      <c r="I157" s="16"/>
      <c r="J157" s="52" t="s">
        <v>589</v>
      </c>
      <c r="K157" s="5" t="s">
        <v>856</v>
      </c>
      <c r="L157" s="4" t="s">
        <v>686</v>
      </c>
      <c r="M157" s="16" t="s">
        <v>1375</v>
      </c>
      <c r="N157" s="20" t="s">
        <v>1378</v>
      </c>
      <c r="O157" s="5">
        <v>10</v>
      </c>
      <c r="P157" s="36">
        <v>50000</v>
      </c>
      <c r="Q157" s="5"/>
      <c r="R157" s="5"/>
    </row>
    <row r="158" spans="1:19" s="2" customFormat="1" ht="41.4" x14ac:dyDescent="0.3">
      <c r="B158" s="4">
        <v>154</v>
      </c>
      <c r="C158" s="16">
        <v>1061</v>
      </c>
      <c r="D158" s="42" t="s">
        <v>591</v>
      </c>
      <c r="E158" s="19" t="s">
        <v>592</v>
      </c>
      <c r="F158" s="4"/>
      <c r="G158" s="16" t="s">
        <v>16</v>
      </c>
      <c r="H158" s="19" t="s">
        <v>593</v>
      </c>
      <c r="I158" s="19"/>
      <c r="J158" s="9" t="s">
        <v>594</v>
      </c>
      <c r="K158" s="5" t="s">
        <v>857</v>
      </c>
      <c r="L158" s="4"/>
      <c r="M158" s="5"/>
      <c r="N158" s="5"/>
      <c r="O158" s="5"/>
      <c r="P158" s="5"/>
      <c r="Q158" s="5"/>
      <c r="R158" s="5"/>
    </row>
    <row r="159" spans="1:19" s="2" customFormat="1" ht="41.4" x14ac:dyDescent="0.3">
      <c r="A159" s="62">
        <v>45878</v>
      </c>
      <c r="B159" s="4">
        <v>155</v>
      </c>
      <c r="C159" s="16">
        <v>974</v>
      </c>
      <c r="D159" s="4" t="s">
        <v>595</v>
      </c>
      <c r="E159" s="19" t="s">
        <v>595</v>
      </c>
      <c r="F159" s="4" t="s">
        <v>1382</v>
      </c>
      <c r="G159" s="16" t="s">
        <v>1380</v>
      </c>
      <c r="H159" s="19" t="s">
        <v>596</v>
      </c>
      <c r="I159" s="19"/>
      <c r="J159" s="52" t="s">
        <v>1381</v>
      </c>
      <c r="K159" s="5" t="s">
        <v>858</v>
      </c>
      <c r="L159" s="4" t="s">
        <v>942</v>
      </c>
      <c r="M159" s="19" t="s">
        <v>1453</v>
      </c>
      <c r="N159" s="20" t="s">
        <v>1386</v>
      </c>
      <c r="O159" s="5">
        <v>151</v>
      </c>
      <c r="P159" s="36">
        <v>50000</v>
      </c>
      <c r="Q159" s="5"/>
      <c r="R159" s="5"/>
      <c r="S159" s="2" t="s">
        <v>1454</v>
      </c>
    </row>
    <row r="160" spans="1:19" s="2" customFormat="1" ht="55.2" x14ac:dyDescent="0.3">
      <c r="B160" s="4">
        <v>156</v>
      </c>
      <c r="C160" s="16">
        <v>1080</v>
      </c>
      <c r="D160" s="4" t="s">
        <v>597</v>
      </c>
      <c r="E160" s="19" t="s">
        <v>597</v>
      </c>
      <c r="F160" s="4" t="s">
        <v>1390</v>
      </c>
      <c r="G160" s="16" t="s">
        <v>1391</v>
      </c>
      <c r="H160" s="19" t="s">
        <v>598</v>
      </c>
      <c r="I160" s="19"/>
      <c r="J160" s="19"/>
      <c r="K160" s="53">
        <v>45572</v>
      </c>
      <c r="L160" s="4" t="s">
        <v>942</v>
      </c>
      <c r="M160" s="19" t="s">
        <v>597</v>
      </c>
      <c r="N160" s="20" t="s">
        <v>1396</v>
      </c>
      <c r="O160" s="5"/>
      <c r="P160" s="5"/>
      <c r="Q160" s="5"/>
      <c r="R160" s="5"/>
    </row>
    <row r="161" spans="2:18" s="2" customFormat="1" ht="27.6" x14ac:dyDescent="0.3">
      <c r="B161" s="4">
        <v>157</v>
      </c>
      <c r="C161" s="30">
        <v>80713</v>
      </c>
      <c r="D161" s="48" t="s">
        <v>599</v>
      </c>
      <c r="E161" s="31" t="s">
        <v>600</v>
      </c>
      <c r="F161" s="30"/>
      <c r="G161" s="5"/>
      <c r="H161" s="30" t="s">
        <v>602</v>
      </c>
      <c r="I161" s="30" t="s">
        <v>12</v>
      </c>
      <c r="J161" s="17" t="s">
        <v>321</v>
      </c>
      <c r="K161" s="5" t="s">
        <v>859</v>
      </c>
      <c r="L161" s="30"/>
      <c r="M161" s="5"/>
      <c r="N161" s="5"/>
      <c r="O161" s="5"/>
      <c r="P161" s="5"/>
      <c r="Q161" s="5"/>
      <c r="R161" s="5"/>
    </row>
    <row r="162" spans="2:18" s="2" customFormat="1" ht="27.6" x14ac:dyDescent="0.3">
      <c r="B162" s="4">
        <v>158</v>
      </c>
      <c r="C162" s="16">
        <v>782</v>
      </c>
      <c r="D162" s="42" t="s">
        <v>603</v>
      </c>
      <c r="E162" s="19" t="s">
        <v>604</v>
      </c>
      <c r="F162" s="4"/>
      <c r="G162" s="16" t="s">
        <v>110</v>
      </c>
      <c r="H162" s="19" t="s">
        <v>605</v>
      </c>
      <c r="I162" s="19"/>
      <c r="J162" s="9" t="s">
        <v>321</v>
      </c>
      <c r="K162" s="5" t="s">
        <v>860</v>
      </c>
      <c r="L162" s="4"/>
      <c r="M162" s="5"/>
      <c r="N162" s="5"/>
      <c r="O162" s="5"/>
      <c r="P162" s="5"/>
      <c r="Q162" s="5"/>
      <c r="R162" s="5"/>
    </row>
    <row r="163" spans="2:18" s="2" customFormat="1" ht="27.6" x14ac:dyDescent="0.3">
      <c r="B163" s="4">
        <v>159</v>
      </c>
      <c r="C163" s="30">
        <v>1041</v>
      </c>
      <c r="D163" s="30" t="s">
        <v>606</v>
      </c>
      <c r="E163" s="31" t="s">
        <v>607</v>
      </c>
      <c r="F163" s="30" t="s">
        <v>1399</v>
      </c>
      <c r="G163" s="5" t="s">
        <v>1398</v>
      </c>
      <c r="H163" s="30" t="s">
        <v>610</v>
      </c>
      <c r="I163" s="30" t="s">
        <v>12</v>
      </c>
      <c r="J163" s="14" t="s">
        <v>611</v>
      </c>
      <c r="K163" s="5" t="s">
        <v>835</v>
      </c>
      <c r="L163" s="30" t="s">
        <v>686</v>
      </c>
      <c r="M163" s="31" t="s">
        <v>607</v>
      </c>
      <c r="N163" s="5"/>
      <c r="O163" s="5"/>
      <c r="P163" s="5"/>
      <c r="Q163" s="5"/>
      <c r="R163" s="5"/>
    </row>
    <row r="164" spans="2:18" s="2" customFormat="1" ht="27.6" x14ac:dyDescent="0.3">
      <c r="B164" s="4">
        <v>160</v>
      </c>
      <c r="C164" s="16">
        <v>926</v>
      </c>
      <c r="D164" s="42" t="s">
        <v>612</v>
      </c>
      <c r="E164" s="19" t="s">
        <v>613</v>
      </c>
      <c r="F164" s="4"/>
      <c r="G164" s="16" t="s">
        <v>110</v>
      </c>
      <c r="H164" s="19" t="s">
        <v>614</v>
      </c>
      <c r="I164" s="20"/>
      <c r="J164" s="9" t="s">
        <v>615</v>
      </c>
      <c r="K164" s="5" t="s">
        <v>861</v>
      </c>
      <c r="L164" s="4"/>
      <c r="M164" s="5"/>
      <c r="N164" s="5"/>
      <c r="O164" s="5"/>
      <c r="P164" s="5"/>
      <c r="Q164" s="5"/>
      <c r="R164" s="5"/>
    </row>
    <row r="165" spans="2:18" s="2" customFormat="1" ht="69" x14ac:dyDescent="0.3">
      <c r="B165" s="4">
        <v>161</v>
      </c>
      <c r="C165" s="16">
        <v>806</v>
      </c>
      <c r="D165" s="4" t="s">
        <v>616</v>
      </c>
      <c r="E165" s="19" t="s">
        <v>617</v>
      </c>
      <c r="F165" s="4" t="s">
        <v>1403</v>
      </c>
      <c r="G165" s="16" t="s">
        <v>1401</v>
      </c>
      <c r="H165" s="20" t="s">
        <v>1402</v>
      </c>
      <c r="I165" s="20" t="s">
        <v>1409</v>
      </c>
      <c r="J165" s="52" t="s">
        <v>1408</v>
      </c>
      <c r="K165" s="5" t="s">
        <v>862</v>
      </c>
      <c r="L165" s="4" t="s">
        <v>686</v>
      </c>
      <c r="M165" s="19" t="s">
        <v>617</v>
      </c>
      <c r="N165" s="20" t="s">
        <v>1407</v>
      </c>
      <c r="O165" s="5">
        <v>17</v>
      </c>
      <c r="P165" s="36">
        <v>50000</v>
      </c>
      <c r="Q165" s="5"/>
      <c r="R165" s="5"/>
    </row>
    <row r="166" spans="2:18" s="2" customFormat="1" ht="27.6" x14ac:dyDescent="0.3">
      <c r="B166" s="4">
        <v>162</v>
      </c>
      <c r="C166" s="16">
        <v>969</v>
      </c>
      <c r="D166" s="4" t="s">
        <v>618</v>
      </c>
      <c r="E166" s="19" t="s">
        <v>1413</v>
      </c>
      <c r="F166" s="4">
        <v>7208997</v>
      </c>
      <c r="G166" s="16" t="s">
        <v>1411</v>
      </c>
      <c r="H166" s="16"/>
      <c r="I166" s="16" t="s">
        <v>184</v>
      </c>
      <c r="J166" s="52" t="s">
        <v>1412</v>
      </c>
      <c r="K166" s="5" t="s">
        <v>826</v>
      </c>
      <c r="L166" s="4" t="s">
        <v>686</v>
      </c>
      <c r="M166" s="19" t="s">
        <v>1413</v>
      </c>
      <c r="N166" s="20" t="s">
        <v>1416</v>
      </c>
      <c r="O166" s="5">
        <v>9</v>
      </c>
      <c r="P166" s="36">
        <v>50000</v>
      </c>
      <c r="Q166" s="5"/>
      <c r="R166" s="5"/>
    </row>
    <row r="167" spans="2:18" s="2" customFormat="1" ht="13.8" x14ac:dyDescent="0.3">
      <c r="B167" s="4">
        <v>163</v>
      </c>
      <c r="C167" s="16">
        <v>757</v>
      </c>
      <c r="D167" s="42" t="s">
        <v>619</v>
      </c>
      <c r="E167" s="19" t="s">
        <v>620</v>
      </c>
      <c r="F167" s="4"/>
      <c r="G167" s="16" t="s">
        <v>16</v>
      </c>
      <c r="H167" s="19" t="s">
        <v>621</v>
      </c>
      <c r="I167" s="16"/>
      <c r="J167" s="16"/>
      <c r="K167" s="5" t="s">
        <v>863</v>
      </c>
      <c r="L167" s="4"/>
      <c r="M167" s="5"/>
      <c r="N167" s="5"/>
      <c r="O167" s="5"/>
      <c r="P167" s="5"/>
      <c r="Q167" s="5"/>
      <c r="R167" s="5"/>
    </row>
    <row r="168" spans="2:18" s="2" customFormat="1" ht="27.6" x14ac:dyDescent="0.3">
      <c r="B168" s="4">
        <v>164</v>
      </c>
      <c r="C168" s="16">
        <v>848</v>
      </c>
      <c r="D168" s="42" t="s">
        <v>622</v>
      </c>
      <c r="E168" s="19" t="s">
        <v>623</v>
      </c>
      <c r="F168" s="4"/>
      <c r="G168" s="16" t="s">
        <v>16</v>
      </c>
      <c r="H168" s="19" t="s">
        <v>624</v>
      </c>
      <c r="I168" s="20"/>
      <c r="J168" s="9" t="s">
        <v>625</v>
      </c>
      <c r="K168" s="5" t="s">
        <v>864</v>
      </c>
      <c r="L168" s="4"/>
      <c r="M168" s="5"/>
      <c r="N168" s="5"/>
      <c r="O168" s="5"/>
      <c r="P168" s="5"/>
      <c r="Q168" s="5"/>
      <c r="R168" s="5"/>
    </row>
    <row r="169" spans="2:18" s="2" customFormat="1" ht="27.6" x14ac:dyDescent="0.3">
      <c r="B169" s="4">
        <v>165</v>
      </c>
      <c r="C169" s="16">
        <v>749</v>
      </c>
      <c r="D169" s="42" t="s">
        <v>626</v>
      </c>
      <c r="E169" s="19" t="s">
        <v>627</v>
      </c>
      <c r="F169" s="4"/>
      <c r="G169" s="16"/>
      <c r="H169" s="16"/>
      <c r="I169" s="16"/>
      <c r="J169" s="16"/>
      <c r="K169" s="5" t="s">
        <v>755</v>
      </c>
      <c r="L169" s="4"/>
      <c r="M169" s="5"/>
      <c r="N169" s="5"/>
      <c r="O169" s="5"/>
      <c r="P169" s="5"/>
      <c r="Q169" s="5"/>
      <c r="R169" s="5"/>
    </row>
    <row r="170" spans="2:18" s="2" customFormat="1" ht="27.6" x14ac:dyDescent="0.3">
      <c r="B170" s="4">
        <v>166</v>
      </c>
      <c r="C170" s="16">
        <v>927</v>
      </c>
      <c r="D170" s="42" t="s">
        <v>628</v>
      </c>
      <c r="E170" s="19" t="s">
        <v>629</v>
      </c>
      <c r="F170" s="4"/>
      <c r="G170" s="16" t="s">
        <v>6</v>
      </c>
      <c r="H170" s="19" t="s">
        <v>630</v>
      </c>
      <c r="I170" s="19"/>
      <c r="J170" s="9" t="s">
        <v>631</v>
      </c>
      <c r="K170" s="5" t="s">
        <v>865</v>
      </c>
      <c r="L170" s="4"/>
      <c r="M170" s="5"/>
      <c r="N170" s="5"/>
      <c r="O170" s="5"/>
      <c r="P170" s="5"/>
      <c r="Q170" s="5"/>
      <c r="R170" s="5"/>
    </row>
    <row r="171" spans="2:18" s="2" customFormat="1" ht="110.4" x14ac:dyDescent="0.3">
      <c r="B171" s="4">
        <v>167</v>
      </c>
      <c r="C171" s="30" t="s">
        <v>636</v>
      </c>
      <c r="D171" s="60" t="s">
        <v>632</v>
      </c>
      <c r="E171" s="31" t="s">
        <v>633</v>
      </c>
      <c r="F171" s="30">
        <v>7599849</v>
      </c>
      <c r="G171" s="16" t="s">
        <v>1418</v>
      </c>
      <c r="H171" s="16" t="s">
        <v>1419</v>
      </c>
      <c r="I171" s="30" t="s">
        <v>637</v>
      </c>
      <c r="J171" s="17" t="s">
        <v>638</v>
      </c>
      <c r="K171" s="5" t="s">
        <v>866</v>
      </c>
      <c r="L171" s="30" t="s">
        <v>686</v>
      </c>
      <c r="M171" s="31" t="s">
        <v>633</v>
      </c>
      <c r="N171" s="20" t="s">
        <v>1024</v>
      </c>
      <c r="O171" s="5">
        <v>109</v>
      </c>
      <c r="P171" s="36">
        <v>100000</v>
      </c>
      <c r="Q171" s="5"/>
      <c r="R171" s="5"/>
    </row>
    <row r="172" spans="2:18" s="2" customFormat="1" ht="55.2" x14ac:dyDescent="0.3">
      <c r="B172" s="4">
        <v>168</v>
      </c>
      <c r="C172" s="30">
        <v>195711</v>
      </c>
      <c r="D172" s="30" t="s">
        <v>639</v>
      </c>
      <c r="E172" s="31" t="s">
        <v>640</v>
      </c>
      <c r="F172" s="30">
        <v>4518901</v>
      </c>
      <c r="G172" s="30" t="s">
        <v>1424</v>
      </c>
      <c r="H172" s="30" t="s">
        <v>641</v>
      </c>
      <c r="I172" s="30"/>
      <c r="J172" s="17" t="s">
        <v>642</v>
      </c>
      <c r="K172" s="5" t="s">
        <v>812</v>
      </c>
      <c r="L172" s="30" t="s">
        <v>686</v>
      </c>
      <c r="M172" s="31" t="s">
        <v>640</v>
      </c>
      <c r="N172" s="20" t="s">
        <v>1199</v>
      </c>
      <c r="O172" s="5">
        <v>70</v>
      </c>
      <c r="P172" s="36">
        <v>100000</v>
      </c>
      <c r="Q172" s="5"/>
      <c r="R172" s="5"/>
    </row>
    <row r="173" spans="2:18" s="2" customFormat="1" ht="13.8" x14ac:dyDescent="0.3">
      <c r="B173" s="4">
        <v>169</v>
      </c>
      <c r="C173" s="16">
        <v>951</v>
      </c>
      <c r="D173" s="42" t="s">
        <v>643</v>
      </c>
      <c r="E173" s="19" t="s">
        <v>643</v>
      </c>
      <c r="F173" s="4"/>
      <c r="G173" s="16" t="s">
        <v>16</v>
      </c>
      <c r="H173" s="19" t="s">
        <v>644</v>
      </c>
      <c r="I173" s="19"/>
      <c r="J173" s="9" t="s">
        <v>645</v>
      </c>
      <c r="K173" s="5" t="s">
        <v>867</v>
      </c>
      <c r="L173" s="4"/>
      <c r="M173" s="5"/>
      <c r="N173" s="5"/>
      <c r="O173" s="5"/>
      <c r="P173" s="5"/>
      <c r="Q173" s="5"/>
      <c r="R173" s="5"/>
    </row>
    <row r="174" spans="2:18" s="2" customFormat="1" ht="41.4" x14ac:dyDescent="0.3">
      <c r="B174" s="4">
        <v>170</v>
      </c>
      <c r="C174" s="30">
        <v>226961</v>
      </c>
      <c r="D174" s="30" t="s">
        <v>646</v>
      </c>
      <c r="E174" s="31" t="s">
        <v>647</v>
      </c>
      <c r="F174" s="30">
        <v>7099890</v>
      </c>
      <c r="G174" s="30" t="s">
        <v>1429</v>
      </c>
      <c r="H174" s="30" t="s">
        <v>12</v>
      </c>
      <c r="I174" s="30" t="s">
        <v>650</v>
      </c>
      <c r="J174" s="17" t="s">
        <v>651</v>
      </c>
      <c r="K174" s="5" t="s">
        <v>773</v>
      </c>
      <c r="L174" s="30"/>
      <c r="M174" s="31" t="s">
        <v>647</v>
      </c>
      <c r="N174" s="20" t="s">
        <v>1432</v>
      </c>
      <c r="O174" s="5">
        <v>77</v>
      </c>
      <c r="P174" s="36">
        <v>100000</v>
      </c>
      <c r="Q174" s="5"/>
      <c r="R174" s="5"/>
    </row>
    <row r="175" spans="2:18" s="2" customFormat="1" ht="55.2" x14ac:dyDescent="0.3">
      <c r="B175" s="4">
        <v>171</v>
      </c>
      <c r="C175" s="16">
        <v>692</v>
      </c>
      <c r="D175" s="4" t="s">
        <v>652</v>
      </c>
      <c r="E175" s="19" t="s">
        <v>653</v>
      </c>
      <c r="F175" s="4">
        <v>1339614</v>
      </c>
      <c r="G175" s="16"/>
      <c r="H175" s="19" t="s">
        <v>654</v>
      </c>
      <c r="I175" s="16"/>
      <c r="J175" s="52" t="s">
        <v>1435</v>
      </c>
      <c r="K175" s="5" t="s">
        <v>868</v>
      </c>
      <c r="L175" s="4" t="s">
        <v>686</v>
      </c>
      <c r="M175" s="19" t="s">
        <v>653</v>
      </c>
      <c r="N175" s="20" t="s">
        <v>1438</v>
      </c>
      <c r="O175" s="5"/>
      <c r="P175" s="5"/>
      <c r="Q175" s="5"/>
      <c r="R175" s="5"/>
    </row>
    <row r="176" spans="2:18" s="2" customFormat="1" ht="55.2" x14ac:dyDescent="0.3">
      <c r="B176" s="4">
        <v>172</v>
      </c>
      <c r="C176" s="16">
        <v>807</v>
      </c>
      <c r="D176" s="4" t="s">
        <v>655</v>
      </c>
      <c r="E176" s="19" t="s">
        <v>656</v>
      </c>
      <c r="F176" s="4">
        <v>683844</v>
      </c>
      <c r="G176" s="16" t="s">
        <v>16</v>
      </c>
      <c r="H176" s="19" t="s">
        <v>657</v>
      </c>
      <c r="I176" s="16"/>
      <c r="J176" s="16"/>
      <c r="K176" s="5" t="s">
        <v>869</v>
      </c>
      <c r="L176" s="4" t="s">
        <v>686</v>
      </c>
      <c r="M176" s="19" t="s">
        <v>656</v>
      </c>
      <c r="N176" s="20" t="s">
        <v>1443</v>
      </c>
      <c r="O176" s="5"/>
      <c r="P176" s="5"/>
      <c r="Q176" s="5"/>
      <c r="R176" s="5"/>
    </row>
    <row r="177" spans="2:18" s="2" customFormat="1" ht="27.6" x14ac:dyDescent="0.3">
      <c r="B177" s="4">
        <v>173</v>
      </c>
      <c r="C177" s="16">
        <v>0</v>
      </c>
      <c r="D177" s="42" t="s">
        <v>658</v>
      </c>
      <c r="E177" s="19" t="s">
        <v>659</v>
      </c>
      <c r="F177" s="4"/>
      <c r="G177" s="16" t="s">
        <v>60</v>
      </c>
      <c r="H177" s="19" t="s">
        <v>660</v>
      </c>
      <c r="I177" s="19"/>
      <c r="J177" s="9" t="s">
        <v>661</v>
      </c>
      <c r="K177" s="5" t="s">
        <v>760</v>
      </c>
      <c r="L177" s="4"/>
      <c r="M177" s="5"/>
      <c r="N177" s="5"/>
      <c r="O177" s="5"/>
      <c r="P177" s="5"/>
      <c r="Q177" s="5"/>
      <c r="R177" s="5"/>
    </row>
    <row r="178" spans="2:18" s="2" customFormat="1" ht="13.8" x14ac:dyDescent="0.3">
      <c r="B178" s="4">
        <v>174</v>
      </c>
      <c r="C178" s="16">
        <v>962</v>
      </c>
      <c r="D178" s="42" t="s">
        <v>662</v>
      </c>
      <c r="E178" s="19" t="s">
        <v>662</v>
      </c>
      <c r="F178" s="4"/>
      <c r="G178" s="16" t="s">
        <v>16</v>
      </c>
      <c r="H178" s="19" t="s">
        <v>663</v>
      </c>
      <c r="I178" s="16"/>
      <c r="J178" s="16"/>
      <c r="K178" s="5" t="s">
        <v>870</v>
      </c>
      <c r="L178" s="4"/>
      <c r="M178" s="5"/>
      <c r="N178" s="5"/>
      <c r="O178" s="5"/>
      <c r="P178" s="5"/>
      <c r="Q178" s="5"/>
      <c r="R178" s="5"/>
    </row>
    <row r="179" spans="2:18" s="2" customFormat="1" ht="13.8" x14ac:dyDescent="0.3">
      <c r="B179" s="4">
        <v>175</v>
      </c>
      <c r="C179" s="16">
        <v>872</v>
      </c>
      <c r="D179" s="42" t="s">
        <v>664</v>
      </c>
      <c r="E179" s="19" t="s">
        <v>665</v>
      </c>
      <c r="F179" s="4"/>
      <c r="G179" s="16" t="s">
        <v>6</v>
      </c>
      <c r="H179" s="19" t="s">
        <v>12</v>
      </c>
      <c r="I179" s="19" t="s">
        <v>12</v>
      </c>
      <c r="J179" s="9" t="s">
        <v>666</v>
      </c>
      <c r="K179" s="5" t="s">
        <v>765</v>
      </c>
      <c r="L179" s="4"/>
      <c r="M179" s="5"/>
      <c r="N179" s="5"/>
      <c r="O179" s="5"/>
      <c r="P179" s="5"/>
      <c r="Q179" s="5"/>
      <c r="R179" s="5"/>
    </row>
    <row r="180" spans="2:18" s="2" customFormat="1" ht="13.8" x14ac:dyDescent="0.3">
      <c r="B180" s="4">
        <v>176</v>
      </c>
      <c r="C180" s="16">
        <v>0</v>
      </c>
      <c r="D180" s="42" t="s">
        <v>667</v>
      </c>
      <c r="E180" s="19" t="s">
        <v>667</v>
      </c>
      <c r="F180" s="4"/>
      <c r="G180" s="16" t="s">
        <v>60</v>
      </c>
      <c r="H180" s="4"/>
      <c r="I180" s="4"/>
      <c r="J180" s="4"/>
      <c r="K180" s="5" t="s">
        <v>760</v>
      </c>
      <c r="L180" s="4"/>
      <c r="M180" s="5"/>
      <c r="N180" s="5"/>
      <c r="O180" s="5"/>
      <c r="P180" s="5"/>
      <c r="Q180" s="5"/>
      <c r="R180" s="5"/>
    </row>
    <row r="181" spans="2:18" x14ac:dyDescent="0.3">
      <c r="B181" s="1"/>
    </row>
    <row r="183" spans="2:18" x14ac:dyDescent="0.3">
      <c r="K183">
        <v>80</v>
      </c>
    </row>
  </sheetData>
  <mergeCells count="2">
    <mergeCell ref="H120:I120"/>
    <mergeCell ref="S62:S64"/>
  </mergeCells>
  <hyperlinks>
    <hyperlink ref="J3" r:id="rId1" display="mailto:ambagrodivision@yahoo.com"/>
    <hyperlink ref="J6" r:id="rId2" display="mailto:Advance_agrotech@yahoo.com"/>
    <hyperlink ref="J8" r:id="rId3" display="mailto:aggriopakistan@gmail.com"/>
    <hyperlink ref="J9" r:id="rId4" display="mailto:agrenpakistan@gmail.com"/>
    <hyperlink ref="J10" r:id="rId5" display="mailto:agriawardint@gmail.com"/>
    <hyperlink ref="J12" r:id="rId6" display="mailto:agriresearch.wing.international@gmail.com"/>
    <hyperlink ref="J13" r:id="rId7" display="http://www.fourstargroup.com.pk/"/>
    <hyperlink ref="J14" r:id="rId8" display="http://www.aziz-group.com/"/>
    <hyperlink ref="J17" r:id="rId9" display="mailto:kulachi@yaqoobgroup.com"/>
    <hyperlink ref="J18" r:id="rId10" display="mailto:wahidgroup@gmail.com"/>
    <hyperlink ref="J19" r:id="rId11" display="http://www.agrochinapak.com/"/>
    <hyperlink ref="J20" r:id="rId12" display="mailto:agrolixintl@gmail.com"/>
    <hyperlink ref="J22" r:id="rId13" display="mailto:ida@agrotree.com"/>
    <hyperlink ref="J23" r:id="rId14" display="mailto:Ajmal.Akhtar@agrow.pk"/>
    <hyperlink ref="J24" r:id="rId15" display="mailto:Kakarafghan@gmail.com"/>
    <hyperlink ref="J25" r:id="rId16" display="mailto:Ahmedagrochemical@yahoo.com"/>
    <hyperlink ref="J28" r:id="rId17" display="mailto:postmaster@aliakbargroup.com"/>
    <hyperlink ref="J30" r:id="rId18" display="mailto:amcpak@yahoo.com"/>
    <hyperlink ref="J33" r:id="rId19" display="mailto:arbicointernational@gmail.com"/>
    <hyperlink ref="J34" r:id="rId20" display="mailto:sadikhan61900@gmail.com"/>
    <hyperlink ref="J35" r:id="rId21" display="mailto:info@aurigagroup.com"/>
    <hyperlink ref="J36" r:id="rId22" display="mailto:avanzuchemicals@gmail.com"/>
    <hyperlink ref="J37" r:id="rId23" display="mailto:info@exingroupopakistan.com"/>
    <hyperlink ref="J38" r:id="rId24" display="mailto:ayanagri@gmail.com"/>
    <hyperlink ref="J42" r:id="rId25" display="mailto:info@origagroup.com"/>
    <hyperlink ref="J43" r:id="rId26" display="mailto:capri@omargroup.com"/>
    <hyperlink ref="J44" r:id="rId27" display="mailto:Cpcs17@outlook.com"/>
    <hyperlink ref="J45" r:id="rId28" display="mailto:info@saybangroup.com"/>
    <hyperlink ref="J48" r:id="rId29" display="mailto:sales@creative.agri.com"/>
    <hyperlink ref="J50" r:id="rId30" display="http://www.dagropakistan.com/"/>
    <hyperlink ref="J51" r:id="rId31" display="mailto:postmaster@aliakbargroup.com"/>
    <hyperlink ref="J53" r:id="rId32" display="mailto:naqureshi@engro.com"/>
    <hyperlink ref="J56" r:id="rId33" display="mailto:expert.kissan@gmail.com"/>
    <hyperlink ref="J57" r:id="rId34" display="mailto:farmistochemicals@gmail.com"/>
    <hyperlink ref="J60" r:id="rId35" display="mailto:foriegnchemicals@gmail.com"/>
    <hyperlink ref="J62" r:id="rId36" display="mailto:info@4bgroup.com"/>
    <hyperlink ref="J63" r:id="rId37" display="mailto:info@4bgroup.com"/>
    <hyperlink ref="J64" r:id="rId38" display="mailto:info@4bgroup.com"/>
    <hyperlink ref="J66" r:id="rId39" display="mailto:gnoschinternational@gmail.com"/>
    <hyperlink ref="J68" r:id="rId40" display="mailto:info@gomajee.com"/>
    <hyperlink ref="J69" r:id="rId41" display="mailto:Saeed.rehman@granulars.com"/>
    <hyperlink ref="J70" r:id="rId42" display="mailto:greencoenterprises2018@gmail.com"/>
    <hyperlink ref="J74" r:id="rId43" display="mailto:greenlet@suncropgroup.com"/>
    <hyperlink ref="J75" r:id="rId44" display="mailto:info@greenrevolution.com.pk"/>
    <hyperlink ref="J79" r:id="rId45" display="mailto:info@halal19agrotech.com"/>
    <hyperlink ref="J82" r:id="rId46" display="mailto:info@patrongroup.com.pk"/>
    <hyperlink ref="J83" r:id="rId47" display="mailto:hylandint@gmail%20.com"/>
    <hyperlink ref="J85" r:id="rId48" display="mailto:info@taragroup.com.pk"/>
    <hyperlink ref="J86" r:id="rId49" display="mailto:infoinnovaagri@gmail.com"/>
    <hyperlink ref="J87" r:id="rId50" display="mailto:intaechhr1@outlook.com"/>
    <hyperlink ref="J89" r:id="rId51" display="http://www.jaffer.com/"/>
    <hyperlink ref="J91" r:id="rId52" display="mailto:muhammadtahircobra@gmail.com"/>
    <hyperlink ref="J92" r:id="rId53" display="mailto:info@jullundurgroup.com"/>
    <hyperlink ref="J97" r:id="rId54" display="mailto:kissancarelahore@gmail.com"/>
    <hyperlink ref="J98" r:id="rId55" display="mailto:amcpak@yahoo.com"/>
    <hyperlink ref="J99" r:id="rId56" display="http://www.ici.com.pk/"/>
    <hyperlink ref="J100" r:id="rId57" display="http://www.yaqoobgroup.com/"/>
    <hyperlink ref="J101" r:id="rId58" display="mailto:Lackhi77@gmail.com"/>
    <hyperlink ref="J102" r:id="rId59" display="mailto:info@marketsolutions.org.pk"/>
    <hyperlink ref="J103" r:id="rId60" display="mailto:masco.fad@gmail.com"/>
    <hyperlink ref="J104" r:id="rId61" display="mailto:mashalagro786@gmail.com"/>
    <hyperlink ref="J105" r:id="rId62" display="mailto:matchlesscropscience@gmail.com"/>
    <hyperlink ref="J108" r:id="rId63" display="mailto:info@mdsargotech.com"/>
    <hyperlink ref="J109" r:id="rId64" display="http://www.migroup.pk/"/>
    <hyperlink ref="J110" r:id="rId65" display="mailto:adamjee@yahoo.com"/>
    <hyperlink ref="J111" r:id="rId66" display="mailto:nbcropsciences@gmail.com"/>
    <hyperlink ref="J113" r:id="rId67" display="mailto:hrnongyao@gmail.com"/>
    <hyperlink ref="J114" r:id="rId68" display="mailto:gilanirahim5@gmail.com"/>
    <hyperlink ref="J115" r:id="rId69" display="mailto:novacropscience@gmail.com"/>
    <hyperlink ref="J117" r:id="rId70" display="mailto:jjattak@gmail.com"/>
    <hyperlink ref="J118" r:id="rId71" display="mailto:info@orangeprotection.com"/>
    <hyperlink ref="J119" r:id="rId72"/>
    <hyperlink ref="J120" r:id="rId73" display="mailto:m.ather@hotmail.com"/>
    <hyperlink ref="J122" r:id="rId74" display="mailto:pakagro@cyber.net.pk"/>
    <hyperlink ref="J123" r:id="rId75" display="mailto:panpacific@live.com"/>
    <hyperlink ref="J124" r:id="rId76" display="mailto:panstarpl@yahoo.com"/>
    <hyperlink ref="J126" r:id="rId77" display="mailto:panstarpl@gmail.com"/>
    <hyperlink ref="J128" r:id="rId78" display="http://www.plant4life.com.pk/"/>
    <hyperlink ref="J129" r:id="rId79" display="mailto:powercropsciences@gmail.com"/>
    <hyperlink ref="J130" r:id="rId80" display="mailto:favarenterprises@hotmail.com"/>
    <hyperlink ref="J131" r:id="rId81" display="mailto:rksherwani@yahoo.com"/>
    <hyperlink ref="J132" r:id="rId82" display="mailto:registration@rachnaagro.com"/>
    <hyperlink ref="J133" r:id="rId83" display="mailto:hafizullahdotani@gmail.com"/>
    <hyperlink ref="J134" r:id="rId84" display="mailto:Rehmat333973@gmail.com"/>
    <hyperlink ref="J135" r:id="rId85" display="mailto:ceo@riseag.com.pk"/>
    <hyperlink ref="J136" r:id="rId86" display="mailto:Najeebullah859@yahoo.com"/>
    <hyperlink ref="J141" r:id="rId87" display="mailto:office@sessaagro.com"/>
    <hyperlink ref="J142" r:id="rId88" display="mailto:itesessa@khaiber.net.pk"/>
    <hyperlink ref="J143" r:id="rId89" display="mailto:itcsessa@cyber.net.pk"/>
    <hyperlink ref="J145" r:id="rId90" display="mailto:info@saybangroup.com"/>
    <hyperlink ref="J147" r:id="rId91" display="mailto:naqqulram@gmail.com"/>
    <hyperlink ref="J149" r:id="rId92" display="http://www.sinopakchemicals.com/"/>
    <hyperlink ref="J151" r:id="rId93" display="mailto:info@solex.com.pk"/>
    <hyperlink ref="J152" r:id="rId94" display="http://www.sonachemicals.com.pk/"/>
    <hyperlink ref="J153" r:id="rId95" display="mailto:info@saci,com.pk"/>
    <hyperlink ref="J154" r:id="rId96" display="mailto:info@taragroup.com.pk"/>
    <hyperlink ref="J156" r:id="rId97" display="mailto:info@sungro.com.pk"/>
    <hyperlink ref="J158" r:id="rId98" display="mailto:sursabz@gmail.com"/>
    <hyperlink ref="J161" r:id="rId99" display="mailto:info@taragroup.com.pk"/>
    <hyperlink ref="J162" r:id="rId100" display="mailto:info@taragroup.com.pk"/>
    <hyperlink ref="J164" r:id="rId101" display="mailto:Staragrochemicals999@gmail.com"/>
    <hyperlink ref="J168" r:id="rId102" display="mailto:uniagropakistan@gmail.com"/>
    <hyperlink ref="J170" r:id="rId103" display="http://www.udpl.com.pk/"/>
    <hyperlink ref="J171" r:id="rId104" display="mailto:info@unitedsuppercrops.com"/>
    <hyperlink ref="J172" r:id="rId105" display="mailto:info.vanguardagri@gmail.com"/>
    <hyperlink ref="J173" r:id="rId106" display="mailto:Rafiq.ali@ventusagro.com"/>
    <hyperlink ref="J174" r:id="rId107" display="mailto:latifzehri33@gmail.com"/>
    <hyperlink ref="J177" r:id="rId108" display="mailto:Whiteagro200@gmail.com"/>
    <hyperlink ref="J179" r:id="rId109" display="mailto:53nizam.uddin@gmail.com"/>
    <hyperlink ref="J4" r:id="rId110"/>
    <hyperlink ref="J7" r:id="rId111"/>
    <hyperlink ref="J31" r:id="rId112"/>
    <hyperlink ref="J39" r:id="rId113"/>
    <hyperlink ref="J46" r:id="rId114"/>
    <hyperlink ref="J59" r:id="rId115"/>
    <hyperlink ref="J61" r:id="rId116"/>
    <hyperlink ref="J72" r:id="rId117"/>
    <hyperlink ref="J76" r:id="rId118"/>
    <hyperlink ref="J77" r:id="rId119"/>
    <hyperlink ref="J84" r:id="rId120"/>
    <hyperlink ref="J137" r:id="rId121"/>
    <hyperlink ref="J140" r:id="rId122"/>
    <hyperlink ref="J144" r:id="rId123"/>
    <hyperlink ref="J157" r:id="rId124"/>
    <hyperlink ref="J159" r:id="rId125"/>
    <hyperlink ref="J165" r:id="rId126"/>
    <hyperlink ref="J166" r:id="rId127"/>
    <hyperlink ref="J175" r:id="rId128"/>
  </hyperlinks>
  <pageMargins left="0.7" right="0.7" top="0.75" bottom="0.75" header="0.3" footer="0.3"/>
  <pageSetup orientation="portrait" r:id="rId1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81"/>
  <sheetViews>
    <sheetView topLeftCell="A17" workbookViewId="0">
      <selection activeCell="C45" sqref="C45"/>
    </sheetView>
  </sheetViews>
  <sheetFormatPr defaultRowHeight="14.4" x14ac:dyDescent="0.3"/>
  <cols>
    <col min="3" max="3" width="36" bestFit="1" customWidth="1"/>
    <col min="4" max="4" width="29.33203125" bestFit="1" customWidth="1"/>
    <col min="5" max="5" width="15.33203125" bestFit="1" customWidth="1"/>
    <col min="6" max="6" width="20.33203125" bestFit="1" customWidth="1"/>
    <col min="7" max="7" width="12.5546875" bestFit="1" customWidth="1"/>
    <col min="8" max="8" width="20.88671875" bestFit="1" customWidth="1"/>
    <col min="9" max="9" width="12.5546875" bestFit="1" customWidth="1"/>
  </cols>
  <sheetData>
    <row r="2" spans="2:9" ht="18" x14ac:dyDescent="0.3">
      <c r="B2" s="6" t="s">
        <v>670</v>
      </c>
      <c r="C2" s="6" t="s">
        <v>873</v>
      </c>
      <c r="D2" s="6" t="s">
        <v>672</v>
      </c>
      <c r="E2" s="6" t="s">
        <v>178</v>
      </c>
      <c r="F2" s="6" t="s">
        <v>674</v>
      </c>
      <c r="G2" s="6" t="s">
        <v>685</v>
      </c>
      <c r="H2" s="6" t="s">
        <v>675</v>
      </c>
      <c r="I2" s="6" t="s">
        <v>685</v>
      </c>
    </row>
    <row r="3" spans="2:9" x14ac:dyDescent="0.3">
      <c r="B3" s="3">
        <v>1</v>
      </c>
      <c r="C3" s="7" t="s">
        <v>0</v>
      </c>
      <c r="D3" s="8" t="s">
        <v>3</v>
      </c>
      <c r="E3" s="8" t="s">
        <v>2</v>
      </c>
      <c r="F3" s="3" t="s">
        <v>687</v>
      </c>
      <c r="G3" s="11" t="s">
        <v>688</v>
      </c>
      <c r="H3" s="11" t="s">
        <v>689</v>
      </c>
      <c r="I3" s="11" t="s">
        <v>690</v>
      </c>
    </row>
    <row r="4" spans="2:9" x14ac:dyDescent="0.3">
      <c r="B4" s="3">
        <v>2</v>
      </c>
      <c r="C4" s="12" t="s">
        <v>7</v>
      </c>
      <c r="D4" s="12" t="s">
        <v>10</v>
      </c>
      <c r="E4" s="12" t="s">
        <v>9</v>
      </c>
      <c r="F4" s="13" t="s">
        <v>698</v>
      </c>
      <c r="G4" s="11" t="s">
        <v>699</v>
      </c>
      <c r="H4" s="11" t="s">
        <v>700</v>
      </c>
      <c r="I4" s="11" t="s">
        <v>701</v>
      </c>
    </row>
    <row r="5" spans="2:9" x14ac:dyDescent="0.3">
      <c r="B5" s="3">
        <v>3</v>
      </c>
      <c r="C5" s="7" t="s">
        <v>14</v>
      </c>
      <c r="D5" s="8"/>
      <c r="E5" s="8"/>
      <c r="F5" s="3">
        <v>2</v>
      </c>
      <c r="G5" s="11"/>
      <c r="H5" s="11"/>
      <c r="I5" s="11"/>
    </row>
    <row r="6" spans="2:9" x14ac:dyDescent="0.3">
      <c r="B6" s="3">
        <v>4</v>
      </c>
      <c r="C6" s="7" t="s">
        <v>17</v>
      </c>
      <c r="D6" s="8"/>
      <c r="E6" s="8"/>
      <c r="F6" s="3">
        <v>2</v>
      </c>
      <c r="G6" s="11"/>
      <c r="H6" s="11"/>
      <c r="I6" s="11"/>
    </row>
    <row r="7" spans="2:9" x14ac:dyDescent="0.3">
      <c r="B7" s="3">
        <v>5</v>
      </c>
      <c r="C7" s="7" t="s">
        <v>21</v>
      </c>
      <c r="D7" s="8" t="s">
        <v>706</v>
      </c>
      <c r="E7" s="24">
        <v>9150601073721</v>
      </c>
      <c r="F7" s="3" t="s">
        <v>710</v>
      </c>
      <c r="G7" s="11" t="s">
        <v>711</v>
      </c>
      <c r="H7" s="11" t="s">
        <v>712</v>
      </c>
      <c r="I7" s="11" t="s">
        <v>713</v>
      </c>
    </row>
    <row r="8" spans="2:9" x14ac:dyDescent="0.3">
      <c r="B8" s="3">
        <v>6</v>
      </c>
      <c r="C8" s="7" t="s">
        <v>23</v>
      </c>
      <c r="D8" s="10" t="s">
        <v>717</v>
      </c>
      <c r="E8" s="24">
        <v>363029277003</v>
      </c>
      <c r="F8" s="3" t="s">
        <v>718</v>
      </c>
      <c r="G8" s="11" t="s">
        <v>719</v>
      </c>
      <c r="H8" s="11" t="s">
        <v>720</v>
      </c>
      <c r="I8" s="11" t="s">
        <v>721</v>
      </c>
    </row>
    <row r="9" spans="2:9" x14ac:dyDescent="0.3">
      <c r="B9" s="3">
        <v>7</v>
      </c>
      <c r="C9" s="7" t="s">
        <v>27</v>
      </c>
      <c r="D9" s="8" t="s">
        <v>723</v>
      </c>
      <c r="E9" s="8" t="s">
        <v>724</v>
      </c>
      <c r="F9" s="3" t="s">
        <v>725</v>
      </c>
      <c r="G9" s="11" t="s">
        <v>726</v>
      </c>
      <c r="H9" s="11" t="s">
        <v>727</v>
      </c>
      <c r="I9" s="11" t="s">
        <v>728</v>
      </c>
    </row>
    <row r="10" spans="2:9" x14ac:dyDescent="0.3">
      <c r="B10" s="3">
        <v>8</v>
      </c>
      <c r="C10" s="7" t="s">
        <v>31</v>
      </c>
      <c r="D10" s="8"/>
      <c r="E10" s="8"/>
      <c r="F10" s="3">
        <v>2</v>
      </c>
      <c r="G10" s="11"/>
      <c r="H10" s="11"/>
      <c r="I10" s="11"/>
    </row>
    <row r="11" spans="2:9" x14ac:dyDescent="0.3">
      <c r="B11" s="3">
        <v>9</v>
      </c>
      <c r="C11" s="7" t="s">
        <v>35</v>
      </c>
      <c r="D11" s="8"/>
      <c r="E11" s="8"/>
      <c r="F11" s="3">
        <v>2</v>
      </c>
      <c r="G11" s="11"/>
      <c r="H11" s="11"/>
      <c r="I11" s="11"/>
    </row>
    <row r="12" spans="2:9" x14ac:dyDescent="0.3">
      <c r="B12" s="3">
        <v>10</v>
      </c>
      <c r="C12" s="7" t="s">
        <v>37</v>
      </c>
      <c r="D12" s="8" t="s">
        <v>731</v>
      </c>
      <c r="E12" s="8" t="s">
        <v>732</v>
      </c>
      <c r="F12" s="3" t="s">
        <v>734</v>
      </c>
      <c r="G12" s="11" t="s">
        <v>12</v>
      </c>
      <c r="H12" s="11" t="s">
        <v>735</v>
      </c>
      <c r="I12" s="11" t="s">
        <v>12</v>
      </c>
    </row>
    <row r="13" spans="2:9" x14ac:dyDescent="0.3">
      <c r="B13" s="3">
        <v>11</v>
      </c>
      <c r="C13" s="12" t="s">
        <v>41</v>
      </c>
      <c r="D13" s="12" t="s">
        <v>44</v>
      </c>
      <c r="E13" s="12" t="s">
        <v>43</v>
      </c>
      <c r="F13" s="3" t="s">
        <v>741</v>
      </c>
      <c r="G13" s="11" t="s">
        <v>742</v>
      </c>
      <c r="H13" s="11" t="s">
        <v>743</v>
      </c>
      <c r="I13" s="11"/>
    </row>
    <row r="14" spans="2:9" x14ac:dyDescent="0.3">
      <c r="B14" s="3">
        <v>12</v>
      </c>
      <c r="C14" s="7" t="s">
        <v>47</v>
      </c>
      <c r="D14" s="8"/>
      <c r="E14" s="8"/>
      <c r="F14" s="3">
        <v>2</v>
      </c>
      <c r="G14" s="11"/>
      <c r="H14" s="11"/>
      <c r="I14" s="11"/>
    </row>
    <row r="15" spans="2:9" x14ac:dyDescent="0.3">
      <c r="B15" s="3">
        <v>13</v>
      </c>
      <c r="C15" s="7" t="s">
        <v>51</v>
      </c>
      <c r="D15" s="8" t="s">
        <v>54</v>
      </c>
      <c r="E15" s="8" t="s">
        <v>53</v>
      </c>
      <c r="F15" s="3" t="s">
        <v>892</v>
      </c>
      <c r="G15" s="11" t="s">
        <v>893</v>
      </c>
      <c r="H15" s="11" t="s">
        <v>894</v>
      </c>
      <c r="I15" s="11" t="s">
        <v>895</v>
      </c>
    </row>
    <row r="16" spans="2:9" x14ac:dyDescent="0.3">
      <c r="B16" s="3">
        <v>14</v>
      </c>
      <c r="C16" s="7" t="s">
        <v>59</v>
      </c>
      <c r="D16" s="8"/>
      <c r="E16" s="8"/>
      <c r="F16" s="3">
        <v>2</v>
      </c>
      <c r="G16" s="11"/>
      <c r="H16" s="11"/>
      <c r="I16" s="11"/>
    </row>
    <row r="17" spans="2:9" x14ac:dyDescent="0.3">
      <c r="B17" s="3">
        <v>15</v>
      </c>
      <c r="C17" s="12" t="s">
        <v>61</v>
      </c>
      <c r="D17" s="12" t="s">
        <v>64</v>
      </c>
      <c r="E17" s="12" t="s">
        <v>63</v>
      </c>
      <c r="F17" s="11" t="s">
        <v>12</v>
      </c>
      <c r="G17" s="11" t="s">
        <v>12</v>
      </c>
      <c r="H17" s="11" t="s">
        <v>12</v>
      </c>
      <c r="I17" s="11" t="s">
        <v>12</v>
      </c>
    </row>
    <row r="18" spans="2:9" x14ac:dyDescent="0.3">
      <c r="B18" s="3">
        <v>16</v>
      </c>
      <c r="C18" s="7" t="s">
        <v>68</v>
      </c>
      <c r="D18" s="8"/>
      <c r="E18" s="8"/>
      <c r="F18" s="3">
        <v>2</v>
      </c>
      <c r="G18" s="11"/>
      <c r="H18" s="11"/>
      <c r="I18" s="11"/>
    </row>
    <row r="19" spans="2:9" x14ac:dyDescent="0.3">
      <c r="B19" s="3">
        <v>17</v>
      </c>
      <c r="C19" s="7" t="s">
        <v>69</v>
      </c>
      <c r="D19" s="8"/>
      <c r="E19" s="8"/>
      <c r="F19" s="3">
        <v>2</v>
      </c>
      <c r="G19" s="11"/>
      <c r="H19" s="11"/>
      <c r="I19" s="11"/>
    </row>
    <row r="20" spans="2:9" x14ac:dyDescent="0.3">
      <c r="B20" s="3">
        <v>18</v>
      </c>
      <c r="C20" s="7" t="s">
        <v>73</v>
      </c>
      <c r="D20" s="8"/>
      <c r="E20" s="8"/>
      <c r="F20" s="3">
        <v>2</v>
      </c>
      <c r="G20" s="11"/>
      <c r="H20" s="11"/>
      <c r="I20" s="11"/>
    </row>
    <row r="21" spans="2:9" x14ac:dyDescent="0.3">
      <c r="B21" s="3">
        <v>19</v>
      </c>
      <c r="C21" s="7" t="s">
        <v>77</v>
      </c>
      <c r="D21" s="10"/>
      <c r="E21" s="10"/>
      <c r="F21" s="3">
        <v>2</v>
      </c>
      <c r="G21" s="11"/>
      <c r="H21" s="11"/>
      <c r="I21" s="11"/>
    </row>
    <row r="22" spans="2:9" x14ac:dyDescent="0.3">
      <c r="B22" s="3">
        <v>20</v>
      </c>
      <c r="C22" s="12" t="s">
        <v>78</v>
      </c>
      <c r="D22" s="12" t="s">
        <v>80</v>
      </c>
      <c r="E22" s="13" t="s">
        <v>12</v>
      </c>
      <c r="F22" s="13" t="s">
        <v>901</v>
      </c>
      <c r="G22" s="11" t="s">
        <v>902</v>
      </c>
      <c r="H22" s="11" t="s">
        <v>903</v>
      </c>
      <c r="I22" s="11" t="s">
        <v>904</v>
      </c>
    </row>
    <row r="23" spans="2:9" x14ac:dyDescent="0.3">
      <c r="B23" s="3">
        <v>21</v>
      </c>
      <c r="C23" s="7" t="s">
        <v>83</v>
      </c>
      <c r="D23" s="8" t="s">
        <v>86</v>
      </c>
      <c r="E23" s="8" t="s">
        <v>85</v>
      </c>
      <c r="F23" s="3">
        <v>2</v>
      </c>
      <c r="G23" s="11"/>
      <c r="H23" s="11"/>
      <c r="I23" s="11"/>
    </row>
    <row r="24" spans="2:9" x14ac:dyDescent="0.3">
      <c r="B24" s="3">
        <v>22</v>
      </c>
      <c r="C24" s="7" t="s">
        <v>89</v>
      </c>
      <c r="D24" s="8"/>
      <c r="E24" s="8"/>
      <c r="F24" s="3">
        <v>2</v>
      </c>
      <c r="G24" s="11"/>
      <c r="H24" s="11"/>
      <c r="I24" s="11"/>
    </row>
    <row r="25" spans="2:9" x14ac:dyDescent="0.3">
      <c r="B25" s="3">
        <v>23</v>
      </c>
      <c r="C25" s="7" t="s">
        <v>94</v>
      </c>
      <c r="D25" s="8" t="s">
        <v>97</v>
      </c>
      <c r="E25" s="8" t="s">
        <v>96</v>
      </c>
      <c r="F25" s="3">
        <v>2</v>
      </c>
      <c r="G25" s="11"/>
      <c r="H25" s="11"/>
      <c r="I25" s="11"/>
    </row>
    <row r="26" spans="2:9" x14ac:dyDescent="0.3">
      <c r="B26" s="3">
        <v>24</v>
      </c>
      <c r="C26" s="7" t="s">
        <v>101</v>
      </c>
      <c r="D26" s="10"/>
      <c r="E26" s="10"/>
      <c r="F26" s="3"/>
      <c r="G26" s="11"/>
      <c r="H26" s="11"/>
      <c r="I26" s="11"/>
    </row>
    <row r="27" spans="2:9" x14ac:dyDescent="0.3">
      <c r="B27" s="3">
        <v>25</v>
      </c>
      <c r="C27" s="7" t="s">
        <v>103</v>
      </c>
      <c r="D27" s="8"/>
      <c r="E27" s="8"/>
      <c r="F27" s="3">
        <v>2</v>
      </c>
      <c r="G27" s="11"/>
      <c r="H27" s="11"/>
      <c r="I27" s="11"/>
    </row>
    <row r="28" spans="2:9" x14ac:dyDescent="0.3">
      <c r="B28" s="3">
        <v>26</v>
      </c>
      <c r="C28" s="7" t="s">
        <v>105</v>
      </c>
      <c r="D28" s="8" t="s">
        <v>913</v>
      </c>
      <c r="E28" s="8" t="s">
        <v>914</v>
      </c>
      <c r="F28" s="3" t="s">
        <v>909</v>
      </c>
      <c r="G28" s="11" t="s">
        <v>910</v>
      </c>
      <c r="H28" s="11" t="s">
        <v>911</v>
      </c>
      <c r="I28" s="11" t="s">
        <v>912</v>
      </c>
    </row>
    <row r="29" spans="2:9" x14ac:dyDescent="0.3">
      <c r="B29" s="3">
        <v>27</v>
      </c>
      <c r="C29" s="7" t="s">
        <v>111</v>
      </c>
      <c r="D29" s="8"/>
      <c r="E29" s="8"/>
      <c r="F29" s="3">
        <v>2</v>
      </c>
      <c r="G29" s="11"/>
      <c r="H29" s="11"/>
      <c r="I29" s="11"/>
    </row>
    <row r="30" spans="2:9" x14ac:dyDescent="0.3">
      <c r="B30" s="3">
        <v>28</v>
      </c>
      <c r="C30" s="7" t="s">
        <v>115</v>
      </c>
      <c r="D30" s="8" t="s">
        <v>118</v>
      </c>
      <c r="E30" s="8" t="s">
        <v>117</v>
      </c>
      <c r="F30" s="3">
        <v>2</v>
      </c>
      <c r="G30" s="11"/>
      <c r="H30" s="11"/>
      <c r="I30" s="11"/>
    </row>
    <row r="31" spans="2:9" x14ac:dyDescent="0.3">
      <c r="B31" s="3">
        <v>29</v>
      </c>
      <c r="C31" s="12" t="s">
        <v>121</v>
      </c>
      <c r="D31" s="12" t="s">
        <v>124</v>
      </c>
      <c r="E31" s="12" t="s">
        <v>123</v>
      </c>
      <c r="F31" s="3" t="s">
        <v>920</v>
      </c>
      <c r="G31" s="11" t="s">
        <v>923</v>
      </c>
      <c r="H31" s="11" t="s">
        <v>921</v>
      </c>
      <c r="I31" s="11" t="s">
        <v>922</v>
      </c>
    </row>
    <row r="32" spans="2:9" x14ac:dyDescent="0.3">
      <c r="B32" s="3">
        <v>30</v>
      </c>
      <c r="C32" s="7" t="s">
        <v>126</v>
      </c>
      <c r="D32" s="8"/>
      <c r="E32" s="8"/>
      <c r="F32" s="3">
        <v>2</v>
      </c>
      <c r="G32" s="11"/>
      <c r="H32" s="11"/>
      <c r="I32" s="11"/>
    </row>
    <row r="33" spans="2:9" x14ac:dyDescent="0.3">
      <c r="B33" s="3">
        <v>31</v>
      </c>
      <c r="C33" s="7" t="s">
        <v>128</v>
      </c>
      <c r="D33" s="8"/>
      <c r="E33" s="8"/>
      <c r="F33" s="3">
        <v>2</v>
      </c>
      <c r="G33" s="11"/>
      <c r="H33" s="11"/>
      <c r="I33" s="11"/>
    </row>
    <row r="34" spans="2:9" x14ac:dyDescent="0.3">
      <c r="B34" s="3">
        <v>32</v>
      </c>
      <c r="C34" s="7" t="s">
        <v>132</v>
      </c>
      <c r="D34" s="10" t="s">
        <v>927</v>
      </c>
      <c r="E34" s="10" t="s">
        <v>928</v>
      </c>
      <c r="F34" s="3" t="s">
        <v>929</v>
      </c>
      <c r="G34" s="11" t="s">
        <v>930</v>
      </c>
      <c r="H34" s="11" t="s">
        <v>931</v>
      </c>
      <c r="I34" s="11" t="s">
        <v>932</v>
      </c>
    </row>
    <row r="35" spans="2:9" x14ac:dyDescent="0.3">
      <c r="B35" s="3">
        <v>33</v>
      </c>
      <c r="C35" s="7" t="s">
        <v>135</v>
      </c>
      <c r="D35" s="8" t="s">
        <v>138</v>
      </c>
      <c r="E35" s="8" t="s">
        <v>137</v>
      </c>
      <c r="F35" s="3" t="s">
        <v>934</v>
      </c>
      <c r="G35" s="11" t="s">
        <v>935</v>
      </c>
      <c r="H35" s="11" t="s">
        <v>936</v>
      </c>
      <c r="I35" s="11" t="s">
        <v>937</v>
      </c>
    </row>
    <row r="36" spans="2:9" x14ac:dyDescent="0.3">
      <c r="B36" s="3">
        <v>34</v>
      </c>
      <c r="C36" s="12" t="s">
        <v>141</v>
      </c>
      <c r="D36" s="12" t="s">
        <v>144</v>
      </c>
      <c r="E36" s="12" t="s">
        <v>143</v>
      </c>
      <c r="F36" s="15"/>
      <c r="G36" s="11"/>
      <c r="H36" s="11"/>
      <c r="I36" s="11"/>
    </row>
    <row r="37" spans="2:9" x14ac:dyDescent="0.3">
      <c r="B37" s="3">
        <v>35</v>
      </c>
      <c r="C37" s="7" t="s">
        <v>147</v>
      </c>
      <c r="D37" s="8"/>
      <c r="E37" s="8"/>
      <c r="F37" s="3">
        <v>2</v>
      </c>
      <c r="G37" s="11"/>
      <c r="H37" s="11"/>
      <c r="I37" s="11"/>
    </row>
    <row r="38" spans="2:9" x14ac:dyDescent="0.3">
      <c r="B38" s="3">
        <v>36</v>
      </c>
      <c r="C38" s="7" t="s">
        <v>150</v>
      </c>
      <c r="D38" s="8"/>
      <c r="E38" s="8"/>
      <c r="F38" s="3">
        <v>2</v>
      </c>
      <c r="G38" s="11"/>
      <c r="H38" s="11"/>
      <c r="I38" s="11"/>
    </row>
    <row r="39" spans="2:9" x14ac:dyDescent="0.3">
      <c r="B39" s="3">
        <v>37</v>
      </c>
      <c r="C39" s="7" t="s">
        <v>154</v>
      </c>
      <c r="D39" s="8" t="s">
        <v>943</v>
      </c>
      <c r="E39" s="8" t="s">
        <v>944</v>
      </c>
      <c r="F39" s="3" t="s">
        <v>945</v>
      </c>
      <c r="G39" s="11" t="s">
        <v>946</v>
      </c>
      <c r="H39" s="11" t="s">
        <v>947</v>
      </c>
      <c r="I39" s="11" t="s">
        <v>948</v>
      </c>
    </row>
    <row r="40" spans="2:9" x14ac:dyDescent="0.3">
      <c r="B40" s="3">
        <v>38</v>
      </c>
      <c r="C40" s="7" t="s">
        <v>157</v>
      </c>
      <c r="D40" s="8"/>
      <c r="E40" s="8"/>
      <c r="F40" s="3">
        <v>2</v>
      </c>
      <c r="G40" s="11"/>
      <c r="H40" s="11"/>
      <c r="I40" s="11"/>
    </row>
    <row r="41" spans="2:9" x14ac:dyDescent="0.3">
      <c r="B41" s="3">
        <v>39</v>
      </c>
      <c r="C41" s="7" t="s">
        <v>161</v>
      </c>
      <c r="D41" s="8"/>
      <c r="E41" s="8"/>
      <c r="F41" s="3">
        <v>2</v>
      </c>
      <c r="G41" s="11"/>
      <c r="H41" s="11"/>
      <c r="I41" s="11"/>
    </row>
    <row r="42" spans="2:9" x14ac:dyDescent="0.3">
      <c r="B42" s="3">
        <v>40</v>
      </c>
      <c r="C42" s="12" t="s">
        <v>164</v>
      </c>
      <c r="D42" s="12"/>
      <c r="E42" s="12" t="s">
        <v>137</v>
      </c>
      <c r="F42" s="15"/>
      <c r="G42" s="11"/>
      <c r="H42" s="11"/>
      <c r="I42" s="11"/>
    </row>
    <row r="43" spans="2:9" x14ac:dyDescent="0.3">
      <c r="B43" s="3">
        <v>41</v>
      </c>
      <c r="C43" s="7" t="s">
        <v>167</v>
      </c>
      <c r="D43" s="8"/>
      <c r="E43" s="8"/>
      <c r="F43" s="3">
        <v>2</v>
      </c>
      <c r="G43" s="11"/>
      <c r="H43" s="11"/>
      <c r="I43" s="11"/>
    </row>
    <row r="44" spans="2:9" x14ac:dyDescent="0.3">
      <c r="B44" s="3">
        <v>42</v>
      </c>
      <c r="C44" s="7" t="s">
        <v>170</v>
      </c>
      <c r="D44" s="8"/>
      <c r="E44" s="8"/>
      <c r="F44" s="3">
        <v>2</v>
      </c>
      <c r="G44" s="11"/>
      <c r="H44" s="11"/>
      <c r="I44" s="11"/>
    </row>
    <row r="45" spans="2:9" x14ac:dyDescent="0.3">
      <c r="B45" s="3">
        <v>43</v>
      </c>
      <c r="C45" s="7" t="s">
        <v>173</v>
      </c>
      <c r="D45" s="8" t="s">
        <v>325</v>
      </c>
      <c r="E45" s="8" t="s">
        <v>957</v>
      </c>
      <c r="F45" s="3" t="s">
        <v>953</v>
      </c>
      <c r="G45" s="11" t="s">
        <v>954</v>
      </c>
      <c r="H45" s="11" t="s">
        <v>955</v>
      </c>
      <c r="I45" s="11" t="s">
        <v>956</v>
      </c>
    </row>
    <row r="46" spans="2:9" x14ac:dyDescent="0.3">
      <c r="B46" s="3"/>
      <c r="C46" s="7" t="s">
        <v>964</v>
      </c>
      <c r="D46" s="8" t="s">
        <v>968</v>
      </c>
      <c r="E46" s="8" t="s">
        <v>969</v>
      </c>
      <c r="F46" s="3" t="s">
        <v>970</v>
      </c>
      <c r="G46" s="11" t="s">
        <v>971</v>
      </c>
      <c r="H46" s="11" t="s">
        <v>972</v>
      </c>
      <c r="I46" s="11" t="s">
        <v>973</v>
      </c>
    </row>
    <row r="47" spans="2:9" x14ac:dyDescent="0.3">
      <c r="B47" s="3">
        <v>45</v>
      </c>
      <c r="C47" s="12" t="s">
        <v>180</v>
      </c>
      <c r="D47" s="12" t="s">
        <v>183</v>
      </c>
      <c r="E47" s="12" t="s">
        <v>182</v>
      </c>
      <c r="F47" s="3" t="s">
        <v>961</v>
      </c>
      <c r="G47" s="11" t="s">
        <v>12</v>
      </c>
      <c r="H47" s="11" t="s">
        <v>962</v>
      </c>
      <c r="I47" s="11" t="s">
        <v>12</v>
      </c>
    </row>
    <row r="48" spans="2:9" x14ac:dyDescent="0.3">
      <c r="B48" s="3">
        <v>46</v>
      </c>
      <c r="C48" s="7" t="s">
        <v>185</v>
      </c>
      <c r="D48" s="10"/>
      <c r="E48" s="10"/>
      <c r="F48" s="3"/>
      <c r="G48" s="11"/>
      <c r="H48" s="11"/>
      <c r="I48" s="11"/>
    </row>
    <row r="49" spans="2:9" x14ac:dyDescent="0.3">
      <c r="B49" s="3">
        <v>47</v>
      </c>
      <c r="C49" s="12" t="s">
        <v>189</v>
      </c>
      <c r="D49" s="12" t="s">
        <v>192</v>
      </c>
      <c r="E49" s="12" t="s">
        <v>191</v>
      </c>
      <c r="F49" s="15"/>
      <c r="G49" s="11"/>
      <c r="H49" s="11"/>
      <c r="I49" s="11"/>
    </row>
    <row r="50" spans="2:9" x14ac:dyDescent="0.3">
      <c r="B50" s="3">
        <v>48</v>
      </c>
      <c r="C50" s="7" t="s">
        <v>194</v>
      </c>
      <c r="D50" s="8"/>
      <c r="E50" s="8"/>
      <c r="F50" s="3">
        <v>2</v>
      </c>
      <c r="G50" s="11"/>
      <c r="H50" s="11"/>
      <c r="I50" s="11"/>
    </row>
    <row r="51" spans="2:9" x14ac:dyDescent="0.3">
      <c r="B51" s="3">
        <v>49</v>
      </c>
      <c r="C51" s="7" t="s">
        <v>198</v>
      </c>
      <c r="D51" s="8" t="s">
        <v>984</v>
      </c>
      <c r="E51" s="8" t="s">
        <v>985</v>
      </c>
      <c r="F51" s="3" t="s">
        <v>980</v>
      </c>
      <c r="G51" s="11" t="s">
        <v>981</v>
      </c>
      <c r="H51" s="11" t="s">
        <v>982</v>
      </c>
      <c r="I51" s="11" t="s">
        <v>983</v>
      </c>
    </row>
    <row r="52" spans="2:9" x14ac:dyDescent="0.3">
      <c r="B52" s="3">
        <v>50</v>
      </c>
      <c r="C52" s="12" t="s">
        <v>200</v>
      </c>
      <c r="D52" s="12" t="s">
        <v>203</v>
      </c>
      <c r="E52" s="12" t="s">
        <v>202</v>
      </c>
      <c r="F52" s="13" t="s">
        <v>989</v>
      </c>
      <c r="G52" s="11" t="s">
        <v>990</v>
      </c>
      <c r="H52" s="11" t="s">
        <v>991</v>
      </c>
      <c r="I52" s="11">
        <v>3339788665</v>
      </c>
    </row>
    <row r="53" spans="2:9" x14ac:dyDescent="0.3">
      <c r="B53" s="3">
        <v>51</v>
      </c>
      <c r="C53" s="7" t="s">
        <v>206</v>
      </c>
      <c r="D53" s="8" t="s">
        <v>1001</v>
      </c>
      <c r="E53" s="8" t="s">
        <v>1002</v>
      </c>
      <c r="F53" s="3" t="s">
        <v>996</v>
      </c>
      <c r="G53" s="11" t="s">
        <v>997</v>
      </c>
      <c r="H53" s="11" t="s">
        <v>998</v>
      </c>
      <c r="I53" s="11" t="s">
        <v>999</v>
      </c>
    </row>
    <row r="54" spans="2:9" x14ac:dyDescent="0.3">
      <c r="B54" s="3">
        <v>52</v>
      </c>
      <c r="C54" s="7" t="s">
        <v>211</v>
      </c>
      <c r="D54" s="8"/>
      <c r="E54" s="8"/>
      <c r="F54" s="3">
        <v>2</v>
      </c>
      <c r="G54" s="11"/>
      <c r="H54" s="11"/>
      <c r="I54" s="11"/>
    </row>
    <row r="55" spans="2:9" x14ac:dyDescent="0.3">
      <c r="B55" s="3">
        <v>53</v>
      </c>
      <c r="C55" s="54" t="s">
        <v>213</v>
      </c>
      <c r="D55" s="55"/>
      <c r="E55" s="55"/>
      <c r="F55" s="56" t="s">
        <v>1006</v>
      </c>
      <c r="G55" s="57" t="s">
        <v>12</v>
      </c>
      <c r="H55" s="57" t="s">
        <v>12</v>
      </c>
      <c r="I55" s="57"/>
    </row>
    <row r="56" spans="2:9" x14ac:dyDescent="0.3">
      <c r="B56" s="3">
        <v>54</v>
      </c>
      <c r="C56" s="54" t="s">
        <v>217</v>
      </c>
      <c r="D56" s="55"/>
      <c r="E56" s="55"/>
      <c r="F56" s="58"/>
      <c r="G56" s="57"/>
      <c r="H56" s="57"/>
      <c r="I56" s="57"/>
    </row>
    <row r="57" spans="2:9" x14ac:dyDescent="0.3">
      <c r="B57" s="3">
        <v>55</v>
      </c>
      <c r="C57" s="7" t="s">
        <v>221</v>
      </c>
      <c r="D57" s="8" t="s">
        <v>1010</v>
      </c>
      <c r="E57" s="8" t="s">
        <v>1011</v>
      </c>
      <c r="F57" s="3" t="s">
        <v>1012</v>
      </c>
      <c r="G57" s="11" t="s">
        <v>1013</v>
      </c>
      <c r="H57" s="11" t="s">
        <v>1014</v>
      </c>
      <c r="I57" s="11" t="s">
        <v>1015</v>
      </c>
    </row>
    <row r="58" spans="2:9" x14ac:dyDescent="0.3">
      <c r="B58" s="3">
        <v>56</v>
      </c>
      <c r="C58" s="54" t="s">
        <v>226</v>
      </c>
      <c r="D58" s="55"/>
      <c r="E58" s="55"/>
      <c r="F58" s="58"/>
      <c r="G58" s="57"/>
      <c r="H58" s="57"/>
      <c r="I58" s="57"/>
    </row>
    <row r="59" spans="2:9" x14ac:dyDescent="0.3">
      <c r="B59" s="3">
        <v>57</v>
      </c>
      <c r="C59" s="7" t="s">
        <v>227</v>
      </c>
      <c r="D59" s="8" t="s">
        <v>1020</v>
      </c>
      <c r="E59" s="8"/>
      <c r="F59" s="8" t="s">
        <v>1021</v>
      </c>
      <c r="G59" s="11" t="s">
        <v>1022</v>
      </c>
      <c r="H59" s="11"/>
      <c r="I59" s="11"/>
    </row>
    <row r="60" spans="2:9" x14ac:dyDescent="0.3">
      <c r="B60" s="3">
        <v>58</v>
      </c>
      <c r="C60" s="7" t="s">
        <v>230</v>
      </c>
      <c r="D60" s="10" t="s">
        <v>1025</v>
      </c>
      <c r="E60" s="10" t="s">
        <v>1026</v>
      </c>
      <c r="F60" s="3" t="s">
        <v>1027</v>
      </c>
      <c r="G60" s="11" t="s">
        <v>12</v>
      </c>
      <c r="H60" s="11" t="s">
        <v>1028</v>
      </c>
      <c r="I60" s="11" t="s">
        <v>12</v>
      </c>
    </row>
    <row r="61" spans="2:9" x14ac:dyDescent="0.3">
      <c r="B61" s="3">
        <v>59</v>
      </c>
      <c r="C61" s="12" t="s">
        <v>233</v>
      </c>
      <c r="D61" s="12" t="s">
        <v>236</v>
      </c>
      <c r="E61" s="12" t="s">
        <v>235</v>
      </c>
      <c r="F61" s="3" t="s">
        <v>1032</v>
      </c>
      <c r="G61" s="11" t="s">
        <v>1034</v>
      </c>
      <c r="H61" s="11" t="s">
        <v>1033</v>
      </c>
      <c r="I61" s="11" t="s">
        <v>1035</v>
      </c>
    </row>
    <row r="62" spans="2:9" x14ac:dyDescent="0.3">
      <c r="B62" s="3">
        <v>60</v>
      </c>
      <c r="C62" s="7" t="s">
        <v>240</v>
      </c>
      <c r="D62" s="8" t="s">
        <v>1042</v>
      </c>
      <c r="E62" s="8" t="s">
        <v>1043</v>
      </c>
      <c r="F62" s="3" t="s">
        <v>1038</v>
      </c>
      <c r="G62" s="11" t="s">
        <v>1039</v>
      </c>
      <c r="H62" s="11" t="s">
        <v>1040</v>
      </c>
      <c r="I62" s="11" t="s">
        <v>1041</v>
      </c>
    </row>
    <row r="63" spans="2:9" x14ac:dyDescent="0.3">
      <c r="B63" s="3">
        <v>61</v>
      </c>
      <c r="C63" s="7" t="s">
        <v>244</v>
      </c>
      <c r="D63" s="8"/>
      <c r="E63" s="8"/>
      <c r="F63" s="3">
        <v>2</v>
      </c>
      <c r="G63" s="11"/>
      <c r="H63" s="11"/>
      <c r="I63" s="11"/>
    </row>
    <row r="64" spans="2:9" x14ac:dyDescent="0.3">
      <c r="B64" s="3">
        <v>62</v>
      </c>
      <c r="C64" s="7" t="s">
        <v>246</v>
      </c>
      <c r="D64" s="8" t="s">
        <v>1052</v>
      </c>
      <c r="E64" s="8" t="s">
        <v>1053</v>
      </c>
      <c r="F64" s="3" t="s">
        <v>1047</v>
      </c>
      <c r="G64" s="11" t="s">
        <v>1048</v>
      </c>
      <c r="H64" s="11" t="s">
        <v>1049</v>
      </c>
      <c r="I64" s="11" t="s">
        <v>1050</v>
      </c>
    </row>
    <row r="65" spans="2:9" x14ac:dyDescent="0.3">
      <c r="B65" s="3">
        <v>63</v>
      </c>
      <c r="C65" s="7" t="s">
        <v>249</v>
      </c>
      <c r="D65" s="8"/>
      <c r="E65" s="8"/>
      <c r="F65" s="3">
        <v>2</v>
      </c>
      <c r="G65" s="11"/>
      <c r="H65" s="11"/>
      <c r="I65" s="11"/>
    </row>
    <row r="66" spans="2:9" x14ac:dyDescent="0.3">
      <c r="B66" s="3">
        <v>64</v>
      </c>
      <c r="C66" s="12" t="s">
        <v>252</v>
      </c>
      <c r="D66" s="12" t="s">
        <v>255</v>
      </c>
      <c r="E66" s="12" t="s">
        <v>254</v>
      </c>
      <c r="F66" s="15"/>
      <c r="G66" s="11"/>
      <c r="H66" s="11"/>
      <c r="I66" s="11"/>
    </row>
    <row r="67" spans="2:9" x14ac:dyDescent="0.3">
      <c r="B67" s="3">
        <v>65</v>
      </c>
      <c r="C67" s="7" t="s">
        <v>259</v>
      </c>
      <c r="D67" s="8"/>
      <c r="E67" s="8"/>
      <c r="F67" s="3">
        <v>2</v>
      </c>
      <c r="G67" s="11"/>
      <c r="H67" s="11"/>
      <c r="I67" s="11"/>
    </row>
    <row r="68" spans="2:9" x14ac:dyDescent="0.3">
      <c r="B68" s="3">
        <v>66</v>
      </c>
      <c r="C68" s="12" t="s">
        <v>262</v>
      </c>
      <c r="D68" s="12" t="s">
        <v>265</v>
      </c>
      <c r="E68" s="12" t="s">
        <v>264</v>
      </c>
      <c r="F68" s="3" t="s">
        <v>1056</v>
      </c>
      <c r="G68" s="11" t="s">
        <v>1057</v>
      </c>
      <c r="H68" s="11" t="s">
        <v>1058</v>
      </c>
      <c r="I68" s="11"/>
    </row>
    <row r="69" spans="2:9" x14ac:dyDescent="0.3">
      <c r="B69" s="3">
        <v>67</v>
      </c>
      <c r="C69" s="7" t="s">
        <v>269</v>
      </c>
      <c r="D69" s="8" t="s">
        <v>1065</v>
      </c>
      <c r="E69" s="8" t="s">
        <v>1066</v>
      </c>
      <c r="F69" s="3" t="s">
        <v>1060</v>
      </c>
      <c r="G69" s="11" t="s">
        <v>1061</v>
      </c>
      <c r="H69" s="11" t="s">
        <v>1062</v>
      </c>
      <c r="I69" s="11" t="s">
        <v>1063</v>
      </c>
    </row>
    <row r="70" spans="2:9" ht="28.8" x14ac:dyDescent="0.3">
      <c r="B70" s="64">
        <v>68</v>
      </c>
      <c r="C70" s="65" t="s">
        <v>274</v>
      </c>
      <c r="D70" s="66" t="s">
        <v>1072</v>
      </c>
      <c r="E70" s="66" t="s">
        <v>1073</v>
      </c>
      <c r="F70" s="64" t="s">
        <v>962</v>
      </c>
      <c r="G70" s="67" t="s">
        <v>1069</v>
      </c>
      <c r="H70" s="67" t="s">
        <v>1070</v>
      </c>
      <c r="I70" s="67" t="s">
        <v>1071</v>
      </c>
    </row>
    <row r="71" spans="2:9" x14ac:dyDescent="0.3">
      <c r="B71" s="3">
        <v>69</v>
      </c>
      <c r="C71" s="7" t="s">
        <v>278</v>
      </c>
      <c r="D71" s="10"/>
      <c r="E71" s="10"/>
      <c r="F71" s="3"/>
      <c r="G71" s="11"/>
      <c r="H71" s="11"/>
      <c r="I71" s="11"/>
    </row>
    <row r="72" spans="2:9" x14ac:dyDescent="0.3">
      <c r="B72" s="3">
        <v>70</v>
      </c>
      <c r="C72" s="7" t="s">
        <v>279</v>
      </c>
      <c r="D72" s="10" t="s">
        <v>1081</v>
      </c>
      <c r="E72" s="10" t="s">
        <v>1082</v>
      </c>
      <c r="F72" s="3" t="s">
        <v>1085</v>
      </c>
      <c r="G72" s="11" t="s">
        <v>1086</v>
      </c>
      <c r="H72" s="11" t="s">
        <v>1083</v>
      </c>
      <c r="I72" s="11" t="s">
        <v>1084</v>
      </c>
    </row>
    <row r="73" spans="2:9" x14ac:dyDescent="0.3">
      <c r="B73" s="3">
        <v>71</v>
      </c>
      <c r="C73" s="12" t="s">
        <v>280</v>
      </c>
      <c r="D73" s="12" t="s">
        <v>283</v>
      </c>
      <c r="E73" s="12" t="s">
        <v>282</v>
      </c>
      <c r="F73" s="15"/>
      <c r="G73" s="11"/>
      <c r="H73" s="11"/>
      <c r="I73" s="11"/>
    </row>
    <row r="74" spans="2:9" x14ac:dyDescent="0.3">
      <c r="B74" s="3">
        <v>72</v>
      </c>
      <c r="C74" s="12" t="s">
        <v>286</v>
      </c>
      <c r="D74" s="12" t="s">
        <v>289</v>
      </c>
      <c r="E74" s="12" t="s">
        <v>288</v>
      </c>
      <c r="F74" s="11" t="s">
        <v>1091</v>
      </c>
      <c r="G74" s="11" t="s">
        <v>1092</v>
      </c>
      <c r="H74" s="11" t="s">
        <v>1093</v>
      </c>
      <c r="I74" s="11" t="s">
        <v>1094</v>
      </c>
    </row>
    <row r="75" spans="2:9" x14ac:dyDescent="0.3">
      <c r="B75" s="3">
        <v>73</v>
      </c>
      <c r="C75" s="7" t="s">
        <v>291</v>
      </c>
      <c r="D75" s="8"/>
      <c r="E75" s="8"/>
      <c r="F75" s="3">
        <v>2</v>
      </c>
      <c r="G75" s="11"/>
      <c r="H75" s="11"/>
      <c r="I75" s="11"/>
    </row>
    <row r="76" spans="2:9" x14ac:dyDescent="0.3">
      <c r="B76" s="3">
        <v>74</v>
      </c>
      <c r="C76" s="7" t="s">
        <v>295</v>
      </c>
      <c r="D76" s="8" t="s">
        <v>1105</v>
      </c>
      <c r="E76" s="8" t="s">
        <v>1106</v>
      </c>
      <c r="F76" s="3" t="s">
        <v>1101</v>
      </c>
      <c r="G76" s="11" t="s">
        <v>1102</v>
      </c>
      <c r="H76" s="11" t="s">
        <v>1103</v>
      </c>
      <c r="I76" s="11" t="s">
        <v>1104</v>
      </c>
    </row>
    <row r="77" spans="2:9" x14ac:dyDescent="0.3">
      <c r="B77" s="3"/>
      <c r="C77" s="7" t="s">
        <v>1112</v>
      </c>
      <c r="D77" s="8" t="s">
        <v>1113</v>
      </c>
      <c r="E77" s="8" t="s">
        <v>1114</v>
      </c>
      <c r="F77" s="3" t="s">
        <v>1115</v>
      </c>
      <c r="G77" s="11" t="s">
        <v>1116</v>
      </c>
      <c r="H77" s="11" t="s">
        <v>1117</v>
      </c>
      <c r="I77" s="11" t="s">
        <v>1118</v>
      </c>
    </row>
    <row r="78" spans="2:9" x14ac:dyDescent="0.3">
      <c r="B78" s="3">
        <v>75</v>
      </c>
      <c r="C78" s="7" t="s">
        <v>296</v>
      </c>
      <c r="D78" s="10"/>
      <c r="E78" s="10"/>
      <c r="F78" s="3"/>
      <c r="G78" s="11"/>
      <c r="H78" s="11"/>
      <c r="I78" s="11"/>
    </row>
    <row r="79" spans="2:9" x14ac:dyDescent="0.3">
      <c r="B79" s="3">
        <v>76</v>
      </c>
      <c r="C79" s="7" t="s">
        <v>297</v>
      </c>
      <c r="D79" s="8"/>
      <c r="E79" s="8"/>
      <c r="F79" s="3">
        <v>2</v>
      </c>
      <c r="G79" s="11"/>
      <c r="H79" s="11"/>
      <c r="I79" s="11"/>
    </row>
    <row r="80" spans="2:9" x14ac:dyDescent="0.3">
      <c r="B80" s="3">
        <v>77</v>
      </c>
      <c r="C80" s="12" t="s">
        <v>301</v>
      </c>
      <c r="D80" s="12" t="s">
        <v>304</v>
      </c>
      <c r="E80" s="12" t="s">
        <v>303</v>
      </c>
      <c r="F80" s="11" t="s">
        <v>12</v>
      </c>
      <c r="G80" s="11" t="s">
        <v>12</v>
      </c>
      <c r="H80" s="11" t="s">
        <v>12</v>
      </c>
      <c r="I80" s="11" t="s">
        <v>12</v>
      </c>
    </row>
    <row r="81" spans="2:9" x14ac:dyDescent="0.3">
      <c r="B81" s="3">
        <v>78</v>
      </c>
      <c r="C81" s="7" t="s">
        <v>306</v>
      </c>
      <c r="D81" s="10"/>
      <c r="E81" s="10"/>
      <c r="F81" s="3"/>
      <c r="G81" s="11"/>
      <c r="H81" s="11"/>
      <c r="I81" s="11"/>
    </row>
    <row r="82" spans="2:9" x14ac:dyDescent="0.3">
      <c r="B82" s="3">
        <v>79</v>
      </c>
      <c r="C82" s="12" t="s">
        <v>307</v>
      </c>
      <c r="D82" s="12" t="s">
        <v>309</v>
      </c>
      <c r="E82" s="13" t="s">
        <v>1126</v>
      </c>
      <c r="F82" s="11" t="s">
        <v>892</v>
      </c>
      <c r="G82" s="11" t="s">
        <v>12</v>
      </c>
      <c r="H82" s="11" t="s">
        <v>1028</v>
      </c>
      <c r="I82" s="11" t="s">
        <v>12</v>
      </c>
    </row>
    <row r="83" spans="2:9" x14ac:dyDescent="0.3">
      <c r="B83" s="3">
        <v>80</v>
      </c>
      <c r="C83" s="12" t="s">
        <v>312</v>
      </c>
      <c r="D83" s="12" t="s">
        <v>315</v>
      </c>
      <c r="E83" s="12" t="s">
        <v>314</v>
      </c>
      <c r="F83" s="11" t="s">
        <v>962</v>
      </c>
      <c r="G83" s="11" t="s">
        <v>1069</v>
      </c>
      <c r="H83" s="11" t="s">
        <v>1070</v>
      </c>
      <c r="I83" s="11" t="s">
        <v>1071</v>
      </c>
    </row>
    <row r="84" spans="2:9" x14ac:dyDescent="0.3">
      <c r="B84" s="3">
        <v>81</v>
      </c>
      <c r="C84" s="7" t="s">
        <v>318</v>
      </c>
      <c r="D84" s="10" t="s">
        <v>1137</v>
      </c>
      <c r="E84" s="10" t="s">
        <v>1140</v>
      </c>
      <c r="F84" s="3" t="s">
        <v>989</v>
      </c>
      <c r="G84" s="11" t="s">
        <v>990</v>
      </c>
      <c r="H84" s="11" t="s">
        <v>991</v>
      </c>
      <c r="I84" s="11" t="s">
        <v>1138</v>
      </c>
    </row>
    <row r="85" spans="2:9" x14ac:dyDescent="0.3">
      <c r="B85" s="3">
        <v>82</v>
      </c>
      <c r="C85" s="7" t="s">
        <v>319</v>
      </c>
      <c r="D85" s="8"/>
      <c r="E85" s="8"/>
      <c r="F85" s="3">
        <v>2</v>
      </c>
      <c r="G85" s="11"/>
      <c r="H85" s="11"/>
      <c r="I85" s="11"/>
    </row>
    <row r="86" spans="2:9" x14ac:dyDescent="0.3">
      <c r="B86" s="3">
        <v>83</v>
      </c>
      <c r="C86" s="12" t="s">
        <v>322</v>
      </c>
      <c r="D86" s="12" t="s">
        <v>325</v>
      </c>
      <c r="E86" s="12" t="s">
        <v>324</v>
      </c>
      <c r="F86" s="11" t="s">
        <v>1145</v>
      </c>
      <c r="G86" s="11" t="s">
        <v>1146</v>
      </c>
      <c r="H86" s="11" t="s">
        <v>1147</v>
      </c>
      <c r="I86" s="11"/>
    </row>
    <row r="87" spans="2:9" x14ac:dyDescent="0.3">
      <c r="B87" s="3">
        <v>84</v>
      </c>
      <c r="C87" s="12" t="s">
        <v>327</v>
      </c>
      <c r="D87" s="12" t="s">
        <v>330</v>
      </c>
      <c r="E87" s="12" t="s">
        <v>329</v>
      </c>
      <c r="F87" s="11" t="s">
        <v>1150</v>
      </c>
      <c r="G87" s="11"/>
      <c r="H87" s="11" t="s">
        <v>1151</v>
      </c>
      <c r="I87" s="11"/>
    </row>
    <row r="88" spans="2:9" x14ac:dyDescent="0.3">
      <c r="B88" s="3">
        <v>85</v>
      </c>
      <c r="C88" s="7" t="s">
        <v>333</v>
      </c>
      <c r="D88" s="10"/>
      <c r="E88" s="10"/>
      <c r="F88" s="3"/>
      <c r="G88" s="11"/>
      <c r="H88" s="11"/>
      <c r="I88" s="11"/>
    </row>
    <row r="89" spans="2:9" x14ac:dyDescent="0.3">
      <c r="B89" s="3">
        <v>86</v>
      </c>
      <c r="C89" s="7" t="s">
        <v>336</v>
      </c>
      <c r="D89" s="8" t="s">
        <v>1153</v>
      </c>
      <c r="E89" s="8" t="s">
        <v>1154</v>
      </c>
      <c r="F89" s="3" t="s">
        <v>1157</v>
      </c>
      <c r="G89" s="11" t="s">
        <v>1158</v>
      </c>
      <c r="H89" s="11" t="s">
        <v>1159</v>
      </c>
      <c r="I89" s="11" t="s">
        <v>1160</v>
      </c>
    </row>
    <row r="90" spans="2:9" x14ac:dyDescent="0.3">
      <c r="B90" s="3">
        <v>87</v>
      </c>
      <c r="C90" s="7" t="s">
        <v>340</v>
      </c>
      <c r="D90" s="10"/>
      <c r="E90" s="10"/>
      <c r="F90" s="3"/>
      <c r="G90" s="11"/>
      <c r="H90" s="11"/>
      <c r="I90" s="11"/>
    </row>
    <row r="91" spans="2:9" x14ac:dyDescent="0.3">
      <c r="B91" s="3">
        <v>88</v>
      </c>
      <c r="C91" s="12" t="s">
        <v>341</v>
      </c>
      <c r="D91" s="12" t="s">
        <v>344</v>
      </c>
      <c r="E91" s="12" t="s">
        <v>343</v>
      </c>
      <c r="F91" s="15"/>
      <c r="G91" s="11"/>
      <c r="H91" s="11"/>
      <c r="I91" s="11"/>
    </row>
    <row r="92" spans="2:9" x14ac:dyDescent="0.3">
      <c r="B92" s="3">
        <v>89</v>
      </c>
      <c r="C92" s="7" t="s">
        <v>347</v>
      </c>
      <c r="D92" s="8" t="s">
        <v>1163</v>
      </c>
      <c r="E92" s="8"/>
      <c r="F92" s="3" t="s">
        <v>1164</v>
      </c>
      <c r="G92" s="11" t="s">
        <v>1165</v>
      </c>
      <c r="H92" s="11" t="s">
        <v>1166</v>
      </c>
      <c r="I92" s="11" t="s">
        <v>1167</v>
      </c>
    </row>
    <row r="93" spans="2:9" x14ac:dyDescent="0.3">
      <c r="B93" s="3">
        <v>90</v>
      </c>
      <c r="C93" s="12" t="s">
        <v>351</v>
      </c>
      <c r="D93" s="12" t="s">
        <v>354</v>
      </c>
      <c r="E93" s="12" t="s">
        <v>353</v>
      </c>
      <c r="F93" s="11" t="s">
        <v>1103</v>
      </c>
      <c r="G93" s="11" t="s">
        <v>1173</v>
      </c>
      <c r="H93" s="11" t="s">
        <v>1174</v>
      </c>
      <c r="I93" s="11" t="s">
        <v>1175</v>
      </c>
    </row>
    <row r="94" spans="2:9" x14ac:dyDescent="0.3">
      <c r="B94" s="3">
        <v>91</v>
      </c>
      <c r="C94" s="7" t="s">
        <v>356</v>
      </c>
      <c r="D94" s="8"/>
      <c r="E94" s="8"/>
      <c r="F94" s="3">
        <v>2</v>
      </c>
      <c r="G94" s="11"/>
      <c r="H94" s="11"/>
      <c r="I94" s="11"/>
    </row>
    <row r="95" spans="2:9" x14ac:dyDescent="0.3">
      <c r="B95" s="3">
        <v>92</v>
      </c>
      <c r="C95" s="7" t="s">
        <v>359</v>
      </c>
      <c r="D95" s="8"/>
      <c r="E95" s="8"/>
      <c r="F95" s="3">
        <v>2</v>
      </c>
      <c r="G95" s="11"/>
      <c r="H95" s="11"/>
      <c r="I95" s="11"/>
    </row>
    <row r="96" spans="2:9" x14ac:dyDescent="0.3">
      <c r="B96" s="3">
        <v>93</v>
      </c>
      <c r="C96" s="7" t="s">
        <v>362</v>
      </c>
      <c r="D96" s="8"/>
      <c r="E96" s="8"/>
      <c r="F96" s="3">
        <v>2</v>
      </c>
      <c r="G96" s="11"/>
      <c r="H96" s="11"/>
      <c r="I96" s="11"/>
    </row>
    <row r="97" spans="2:9" x14ac:dyDescent="0.3">
      <c r="B97" s="3">
        <v>94</v>
      </c>
      <c r="C97" s="12" t="s">
        <v>364</v>
      </c>
      <c r="D97" s="12" t="s">
        <v>367</v>
      </c>
      <c r="E97" s="12" t="s">
        <v>366</v>
      </c>
      <c r="F97" s="15"/>
      <c r="G97" s="11"/>
      <c r="H97" s="11"/>
      <c r="I97" s="11"/>
    </row>
    <row r="98" spans="2:9" x14ac:dyDescent="0.3">
      <c r="B98" s="3">
        <v>95</v>
      </c>
      <c r="C98" s="7" t="s">
        <v>370</v>
      </c>
      <c r="D98" s="8" t="s">
        <v>373</v>
      </c>
      <c r="E98" s="8" t="s">
        <v>372</v>
      </c>
      <c r="F98" s="3">
        <v>2</v>
      </c>
      <c r="G98" s="11"/>
      <c r="H98" s="11"/>
      <c r="I98" s="11"/>
    </row>
    <row r="99" spans="2:9" x14ac:dyDescent="0.3">
      <c r="B99" s="3">
        <v>96</v>
      </c>
      <c r="C99" s="7" t="s">
        <v>376</v>
      </c>
      <c r="D99" s="8" t="s">
        <v>1258</v>
      </c>
      <c r="E99" s="8"/>
      <c r="F99" s="3" t="s">
        <v>1251</v>
      </c>
      <c r="G99" s="11" t="s">
        <v>1252</v>
      </c>
      <c r="H99" s="11" t="s">
        <v>1253</v>
      </c>
      <c r="I99" s="11" t="s">
        <v>1254</v>
      </c>
    </row>
    <row r="100" spans="2:9" x14ac:dyDescent="0.3">
      <c r="B100" s="3">
        <v>97</v>
      </c>
      <c r="C100" s="7" t="s">
        <v>381</v>
      </c>
      <c r="D100" s="8" t="s">
        <v>384</v>
      </c>
      <c r="E100" s="8" t="s">
        <v>383</v>
      </c>
      <c r="F100" s="3" t="s">
        <v>1182</v>
      </c>
      <c r="G100" s="11" t="s">
        <v>1184</v>
      </c>
      <c r="H100" s="11" t="s">
        <v>1183</v>
      </c>
      <c r="I100" s="11" t="s">
        <v>999</v>
      </c>
    </row>
    <row r="101" spans="2:9" x14ac:dyDescent="0.3">
      <c r="B101" s="3">
        <v>98</v>
      </c>
      <c r="C101" s="7" t="s">
        <v>387</v>
      </c>
      <c r="D101" s="8" t="s">
        <v>1187</v>
      </c>
      <c r="E101" s="8" t="s">
        <v>1188</v>
      </c>
      <c r="F101" s="3" t="s">
        <v>929</v>
      </c>
      <c r="G101" s="11" t="s">
        <v>1190</v>
      </c>
      <c r="H101" s="11" t="s">
        <v>1191</v>
      </c>
      <c r="I101" s="11" t="s">
        <v>1192</v>
      </c>
    </row>
    <row r="102" spans="2:9" x14ac:dyDescent="0.3">
      <c r="B102" s="3">
        <v>99</v>
      </c>
      <c r="C102" s="7" t="s">
        <v>391</v>
      </c>
      <c r="D102" s="8" t="s">
        <v>414</v>
      </c>
      <c r="E102" s="8" t="s">
        <v>413</v>
      </c>
      <c r="F102" s="3" t="s">
        <v>1195</v>
      </c>
      <c r="G102" s="11" t="s">
        <v>1196</v>
      </c>
      <c r="H102" s="11" t="s">
        <v>1197</v>
      </c>
      <c r="I102" s="11" t="s">
        <v>1198</v>
      </c>
    </row>
    <row r="103" spans="2:9" x14ac:dyDescent="0.3">
      <c r="B103" s="3">
        <v>100</v>
      </c>
      <c r="C103" s="7" t="s">
        <v>394</v>
      </c>
      <c r="D103" s="8" t="s">
        <v>1201</v>
      </c>
      <c r="E103" s="8" t="s">
        <v>1202</v>
      </c>
      <c r="F103" s="3" t="s">
        <v>1204</v>
      </c>
      <c r="G103" s="11" t="s">
        <v>1205</v>
      </c>
      <c r="H103" s="11" t="s">
        <v>1206</v>
      </c>
      <c r="I103" s="11" t="s">
        <v>1207</v>
      </c>
    </row>
    <row r="104" spans="2:9" x14ac:dyDescent="0.3">
      <c r="B104" s="3">
        <v>101</v>
      </c>
      <c r="C104" s="7" t="s">
        <v>397</v>
      </c>
      <c r="D104" s="8"/>
      <c r="E104" s="8"/>
      <c r="F104" s="3">
        <v>2</v>
      </c>
      <c r="G104" s="11"/>
      <c r="H104" s="11"/>
      <c r="I104" s="11"/>
    </row>
    <row r="105" spans="2:9" x14ac:dyDescent="0.3">
      <c r="B105" s="3">
        <v>102</v>
      </c>
      <c r="C105" s="12" t="s">
        <v>401</v>
      </c>
      <c r="D105" s="12" t="s">
        <v>404</v>
      </c>
      <c r="E105" s="12" t="s">
        <v>403</v>
      </c>
      <c r="F105" s="3" t="s">
        <v>1212</v>
      </c>
      <c r="G105" s="11"/>
      <c r="H105" s="11" t="s">
        <v>1213</v>
      </c>
      <c r="I105" s="11"/>
    </row>
    <row r="106" spans="2:9" x14ac:dyDescent="0.3">
      <c r="B106" s="3"/>
      <c r="C106" s="12" t="s">
        <v>1216</v>
      </c>
      <c r="D106" s="12" t="s">
        <v>1220</v>
      </c>
      <c r="E106" s="12" t="s">
        <v>1221</v>
      </c>
      <c r="F106" s="3" t="s">
        <v>989</v>
      </c>
      <c r="G106" s="11" t="s">
        <v>990</v>
      </c>
      <c r="H106" s="11" t="s">
        <v>1222</v>
      </c>
      <c r="I106" s="11" t="s">
        <v>1223</v>
      </c>
    </row>
    <row r="107" spans="2:9" x14ac:dyDescent="0.3">
      <c r="B107" s="3">
        <v>103</v>
      </c>
      <c r="C107" s="12" t="s">
        <v>407</v>
      </c>
      <c r="D107" s="12" t="s">
        <v>410</v>
      </c>
      <c r="E107" s="12" t="s">
        <v>409</v>
      </c>
      <c r="F107" s="15"/>
      <c r="G107" s="11"/>
      <c r="H107" s="11"/>
      <c r="I107" s="11"/>
    </row>
    <row r="108" spans="2:9" x14ac:dyDescent="0.3">
      <c r="B108" s="3">
        <v>104</v>
      </c>
      <c r="C108" s="12" t="s">
        <v>411</v>
      </c>
      <c r="D108" s="12" t="s">
        <v>414</v>
      </c>
      <c r="E108" s="12" t="s">
        <v>413</v>
      </c>
      <c r="F108" s="15"/>
      <c r="G108" s="11"/>
      <c r="H108" s="11"/>
      <c r="I108" s="11"/>
    </row>
    <row r="109" spans="2:9" x14ac:dyDescent="0.3">
      <c r="B109" s="3">
        <v>105</v>
      </c>
      <c r="C109" s="7" t="s">
        <v>417</v>
      </c>
      <c r="D109" s="8"/>
      <c r="E109" s="8"/>
      <c r="F109" s="3">
        <v>2</v>
      </c>
      <c r="G109" s="11"/>
      <c r="H109" s="11"/>
      <c r="I109" s="11"/>
    </row>
    <row r="110" spans="2:9" x14ac:dyDescent="0.3">
      <c r="B110" s="3">
        <v>106</v>
      </c>
      <c r="C110" s="7" t="s">
        <v>421</v>
      </c>
      <c r="D110" s="8"/>
      <c r="E110" s="8"/>
      <c r="F110" s="3">
        <v>2</v>
      </c>
      <c r="G110" s="11"/>
      <c r="H110" s="11"/>
      <c r="I110" s="11"/>
    </row>
    <row r="111" spans="2:9" x14ac:dyDescent="0.3">
      <c r="B111" s="3">
        <v>107</v>
      </c>
      <c r="C111" s="7" t="s">
        <v>425</v>
      </c>
      <c r="D111" s="8"/>
      <c r="E111" s="8"/>
      <c r="F111" s="3">
        <v>2</v>
      </c>
      <c r="G111" s="11"/>
      <c r="H111" s="11"/>
      <c r="I111" s="11"/>
    </row>
    <row r="112" spans="2:9" x14ac:dyDescent="0.3">
      <c r="B112" s="3">
        <v>108</v>
      </c>
      <c r="C112" s="7" t="s">
        <v>429</v>
      </c>
      <c r="D112" s="8"/>
      <c r="E112" s="8"/>
      <c r="F112" s="3">
        <v>2</v>
      </c>
      <c r="G112" s="11"/>
      <c r="H112" s="11"/>
      <c r="I112" s="11"/>
    </row>
    <row r="113" spans="2:9" x14ac:dyDescent="0.3">
      <c r="B113" s="3">
        <v>109</v>
      </c>
      <c r="C113" s="12" t="s">
        <v>431</v>
      </c>
      <c r="D113" s="12" t="s">
        <v>434</v>
      </c>
      <c r="E113" s="12" t="s">
        <v>433</v>
      </c>
      <c r="F113" s="15"/>
      <c r="G113" s="11"/>
      <c r="H113" s="11"/>
      <c r="I113" s="11"/>
    </row>
    <row r="114" spans="2:9" x14ac:dyDescent="0.3">
      <c r="B114" s="3">
        <v>110</v>
      </c>
      <c r="C114" s="7" t="s">
        <v>437</v>
      </c>
      <c r="D114" s="8"/>
      <c r="E114" s="8"/>
      <c r="F114" s="3">
        <v>2</v>
      </c>
      <c r="G114" s="11"/>
      <c r="H114" s="11"/>
      <c r="I114" s="11"/>
    </row>
    <row r="115" spans="2:9" x14ac:dyDescent="0.3">
      <c r="B115" s="3">
        <v>111</v>
      </c>
      <c r="C115" s="7" t="s">
        <v>440</v>
      </c>
      <c r="D115" s="8" t="s">
        <v>1231</v>
      </c>
      <c r="E115" s="8" t="s">
        <v>1232</v>
      </c>
      <c r="F115" s="3" t="s">
        <v>1233</v>
      </c>
      <c r="G115" s="11" t="s">
        <v>1234</v>
      </c>
      <c r="H115" s="11" t="s">
        <v>1235</v>
      </c>
      <c r="I115" s="11" t="s">
        <v>1236</v>
      </c>
    </row>
    <row r="116" spans="2:9" x14ac:dyDescent="0.3">
      <c r="B116" s="3">
        <v>112</v>
      </c>
      <c r="C116" s="7" t="s">
        <v>445</v>
      </c>
      <c r="D116" s="8"/>
      <c r="E116" s="8"/>
      <c r="F116" s="3">
        <v>2</v>
      </c>
      <c r="G116" s="11"/>
      <c r="H116" s="11"/>
      <c r="I116" s="11"/>
    </row>
    <row r="117" spans="2:9" x14ac:dyDescent="0.3">
      <c r="B117" s="3">
        <v>113</v>
      </c>
      <c r="C117" s="7" t="s">
        <v>448</v>
      </c>
      <c r="D117" s="8"/>
      <c r="E117" s="8"/>
      <c r="F117" s="3">
        <v>2</v>
      </c>
      <c r="G117" s="11"/>
      <c r="H117" s="11"/>
      <c r="I117" s="11"/>
    </row>
    <row r="118" spans="2:9" x14ac:dyDescent="0.3">
      <c r="B118" s="3">
        <v>114</v>
      </c>
      <c r="C118" s="7" t="s">
        <v>452</v>
      </c>
      <c r="D118" s="8"/>
      <c r="E118" s="8"/>
      <c r="F118" s="3">
        <v>2</v>
      </c>
      <c r="G118" s="11"/>
      <c r="H118" s="11"/>
      <c r="I118" s="11"/>
    </row>
    <row r="119" spans="2:9" x14ac:dyDescent="0.3">
      <c r="B119" s="3">
        <v>115</v>
      </c>
      <c r="C119" s="7" t="s">
        <v>456</v>
      </c>
      <c r="D119" s="8" t="s">
        <v>1243</v>
      </c>
      <c r="E119" s="8" t="s">
        <v>1244</v>
      </c>
      <c r="F119" s="3" t="s">
        <v>1245</v>
      </c>
      <c r="G119" s="11" t="s">
        <v>1246</v>
      </c>
      <c r="H119" s="11" t="s">
        <v>1247</v>
      </c>
      <c r="I119" s="11" t="s">
        <v>1248</v>
      </c>
    </row>
    <row r="120" spans="2:9" x14ac:dyDescent="0.3">
      <c r="B120" s="3">
        <v>116</v>
      </c>
      <c r="C120" s="7" t="s">
        <v>459</v>
      </c>
      <c r="D120" s="8"/>
      <c r="E120" s="8"/>
      <c r="F120" s="3">
        <v>2</v>
      </c>
      <c r="G120" s="11"/>
      <c r="H120" s="11"/>
      <c r="I120" s="11"/>
    </row>
    <row r="121" spans="2:9" x14ac:dyDescent="0.3">
      <c r="B121" s="3">
        <v>117</v>
      </c>
      <c r="C121" s="7" t="s">
        <v>463</v>
      </c>
      <c r="D121" s="8"/>
      <c r="E121" s="8"/>
      <c r="F121" s="3">
        <v>2</v>
      </c>
      <c r="G121" s="11"/>
      <c r="H121" s="11"/>
      <c r="I121" s="11"/>
    </row>
    <row r="122" spans="2:9" x14ac:dyDescent="0.3">
      <c r="B122" s="3">
        <v>118</v>
      </c>
      <c r="C122" s="7" t="s">
        <v>466</v>
      </c>
      <c r="D122" s="8"/>
      <c r="E122" s="8"/>
      <c r="F122" s="3">
        <v>2</v>
      </c>
      <c r="G122" s="11"/>
      <c r="H122" s="11"/>
      <c r="I122" s="11"/>
    </row>
    <row r="123" spans="2:9" x14ac:dyDescent="0.3">
      <c r="B123" s="3">
        <v>119</v>
      </c>
      <c r="C123" s="7" t="s">
        <v>470</v>
      </c>
      <c r="D123" s="8"/>
      <c r="E123" s="8"/>
      <c r="F123" s="3">
        <v>2</v>
      </c>
      <c r="G123" s="11"/>
      <c r="H123" s="11"/>
      <c r="I123" s="11"/>
    </row>
    <row r="124" spans="2:9" x14ac:dyDescent="0.3">
      <c r="B124" s="3">
        <v>120</v>
      </c>
      <c r="C124" s="7" t="s">
        <v>474</v>
      </c>
      <c r="D124" s="8"/>
      <c r="E124" s="8"/>
      <c r="F124" s="3">
        <v>2</v>
      </c>
      <c r="G124" s="11"/>
      <c r="H124" s="11"/>
      <c r="I124" s="11"/>
    </row>
    <row r="125" spans="2:9" x14ac:dyDescent="0.3">
      <c r="B125" s="3">
        <v>121</v>
      </c>
      <c r="C125" s="7" t="s">
        <v>478</v>
      </c>
      <c r="D125" s="8"/>
      <c r="E125" s="8"/>
      <c r="F125" s="3">
        <v>2</v>
      </c>
      <c r="G125" s="11"/>
      <c r="H125" s="11"/>
      <c r="I125" s="11"/>
    </row>
    <row r="126" spans="2:9" x14ac:dyDescent="0.3">
      <c r="B126" s="3">
        <v>122</v>
      </c>
      <c r="C126" s="12" t="s">
        <v>481</v>
      </c>
      <c r="D126" s="12" t="s">
        <v>484</v>
      </c>
      <c r="E126" s="12" t="s">
        <v>483</v>
      </c>
      <c r="F126" s="3" t="s">
        <v>1260</v>
      </c>
      <c r="G126" s="11" t="s">
        <v>1261</v>
      </c>
      <c r="H126" s="11" t="s">
        <v>1262</v>
      </c>
      <c r="I126" s="11" t="s">
        <v>1263</v>
      </c>
    </row>
    <row r="127" spans="2:9" x14ac:dyDescent="0.3">
      <c r="B127" s="3">
        <v>123</v>
      </c>
      <c r="C127" s="7" t="s">
        <v>486</v>
      </c>
      <c r="D127" s="8"/>
      <c r="E127" s="8"/>
      <c r="F127" s="3">
        <v>2</v>
      </c>
      <c r="G127" s="11"/>
      <c r="H127" s="11"/>
      <c r="I127" s="11"/>
    </row>
    <row r="128" spans="2:9" x14ac:dyDescent="0.3">
      <c r="B128" s="3">
        <v>124</v>
      </c>
      <c r="C128" s="7" t="s">
        <v>490</v>
      </c>
      <c r="D128" s="8"/>
      <c r="E128" s="8"/>
      <c r="F128" s="3">
        <v>2</v>
      </c>
      <c r="G128" s="11"/>
      <c r="H128" s="11"/>
      <c r="I128" s="11"/>
    </row>
    <row r="129" spans="2:9" x14ac:dyDescent="0.3">
      <c r="B129" s="3">
        <v>125</v>
      </c>
      <c r="C129" s="12" t="s">
        <v>494</v>
      </c>
      <c r="D129" s="12" t="s">
        <v>255</v>
      </c>
      <c r="E129" s="12" t="s">
        <v>254</v>
      </c>
      <c r="F129" s="3" t="s">
        <v>12</v>
      </c>
      <c r="G129" s="11" t="s">
        <v>12</v>
      </c>
      <c r="H129" s="11" t="s">
        <v>12</v>
      </c>
      <c r="I129" s="11" t="s">
        <v>12</v>
      </c>
    </row>
    <row r="130" spans="2:9" x14ac:dyDescent="0.3">
      <c r="B130" s="3">
        <v>126</v>
      </c>
      <c r="C130" s="7" t="s">
        <v>498</v>
      </c>
      <c r="D130" s="8"/>
      <c r="E130" s="8"/>
      <c r="F130" s="3">
        <v>2</v>
      </c>
      <c r="G130" s="11"/>
      <c r="H130" s="11"/>
      <c r="I130" s="11"/>
    </row>
    <row r="131" spans="2:9" x14ac:dyDescent="0.3">
      <c r="B131" s="3">
        <v>127</v>
      </c>
      <c r="C131" s="7" t="s">
        <v>501</v>
      </c>
      <c r="D131" s="8"/>
      <c r="E131" s="8"/>
      <c r="F131" s="3">
        <v>2</v>
      </c>
      <c r="G131" s="11"/>
      <c r="H131" s="11"/>
      <c r="I131" s="11"/>
    </row>
    <row r="132" spans="2:9" x14ac:dyDescent="0.3">
      <c r="B132" s="3">
        <v>128</v>
      </c>
      <c r="C132" s="12" t="s">
        <v>505</v>
      </c>
      <c r="D132" s="12" t="s">
        <v>508</v>
      </c>
      <c r="E132" s="12" t="s">
        <v>507</v>
      </c>
      <c r="F132" s="11" t="s">
        <v>1270</v>
      </c>
      <c r="G132" s="11"/>
      <c r="H132" s="11" t="s">
        <v>1271</v>
      </c>
      <c r="I132" s="11"/>
    </row>
    <row r="133" spans="2:9" x14ac:dyDescent="0.3">
      <c r="B133" s="3">
        <v>129</v>
      </c>
      <c r="C133" s="12" t="s">
        <v>511</v>
      </c>
      <c r="D133" s="12" t="s">
        <v>514</v>
      </c>
      <c r="E133" s="12" t="s">
        <v>513</v>
      </c>
      <c r="F133" s="11" t="s">
        <v>1275</v>
      </c>
      <c r="G133" s="11"/>
      <c r="H133" s="11" t="s">
        <v>1276</v>
      </c>
      <c r="I133" s="11"/>
    </row>
    <row r="134" spans="2:9" x14ac:dyDescent="0.3">
      <c r="B134" s="3">
        <v>130</v>
      </c>
      <c r="C134" s="7" t="s">
        <v>516</v>
      </c>
      <c r="D134" s="8"/>
      <c r="E134" s="8"/>
      <c r="F134" s="3">
        <v>2</v>
      </c>
      <c r="G134" s="11"/>
      <c r="H134" s="11"/>
      <c r="I134" s="11"/>
    </row>
    <row r="135" spans="2:9" x14ac:dyDescent="0.3">
      <c r="B135" s="3">
        <v>131</v>
      </c>
      <c r="C135" s="7" t="s">
        <v>519</v>
      </c>
      <c r="D135" s="8"/>
      <c r="E135" s="8"/>
      <c r="F135" s="3" t="s">
        <v>1280</v>
      </c>
      <c r="G135" s="11"/>
      <c r="H135" s="11" t="s">
        <v>1281</v>
      </c>
      <c r="I135" s="11"/>
    </row>
    <row r="136" spans="2:9" x14ac:dyDescent="0.3">
      <c r="B136" s="3">
        <v>132</v>
      </c>
      <c r="C136" s="7" t="s">
        <v>523</v>
      </c>
      <c r="D136" s="8"/>
      <c r="E136" s="8"/>
      <c r="F136" s="3">
        <v>2</v>
      </c>
      <c r="G136" s="11"/>
      <c r="H136" s="11"/>
      <c r="I136" s="11"/>
    </row>
    <row r="137" spans="2:9" x14ac:dyDescent="0.3">
      <c r="B137" s="3">
        <v>133</v>
      </c>
      <c r="C137" s="7" t="s">
        <v>527</v>
      </c>
      <c r="D137" s="8" t="s">
        <v>1285</v>
      </c>
      <c r="E137" s="8" t="s">
        <v>1286</v>
      </c>
      <c r="F137" s="3" t="s">
        <v>1287</v>
      </c>
      <c r="G137" s="11" t="s">
        <v>1288</v>
      </c>
      <c r="H137" s="11" t="s">
        <v>1289</v>
      </c>
      <c r="I137" s="11" t="s">
        <v>1290</v>
      </c>
    </row>
    <row r="138" spans="2:9" x14ac:dyDescent="0.3">
      <c r="B138" s="3">
        <v>134</v>
      </c>
      <c r="C138" s="7" t="s">
        <v>529</v>
      </c>
      <c r="D138" s="8"/>
      <c r="E138" s="8"/>
      <c r="F138" s="3">
        <v>2</v>
      </c>
      <c r="G138" s="11"/>
      <c r="H138" s="11"/>
      <c r="I138" s="11"/>
    </row>
    <row r="139" spans="2:9" x14ac:dyDescent="0.3">
      <c r="B139" s="3">
        <v>135</v>
      </c>
      <c r="C139" s="12" t="s">
        <v>532</v>
      </c>
      <c r="D139" s="12" t="s">
        <v>535</v>
      </c>
      <c r="E139" s="12" t="s">
        <v>534</v>
      </c>
      <c r="F139" s="3" t="s">
        <v>1101</v>
      </c>
      <c r="G139" s="11"/>
      <c r="H139" s="11" t="s">
        <v>1294</v>
      </c>
      <c r="I139" s="11"/>
    </row>
    <row r="140" spans="2:9" x14ac:dyDescent="0.3">
      <c r="B140" s="3">
        <v>136</v>
      </c>
      <c r="C140" s="7" t="s">
        <v>536</v>
      </c>
      <c r="D140" s="8" t="s">
        <v>1301</v>
      </c>
      <c r="E140" s="8" t="s">
        <v>1303</v>
      </c>
      <c r="F140" s="3" t="s">
        <v>1304</v>
      </c>
      <c r="G140" s="11" t="s">
        <v>1305</v>
      </c>
      <c r="H140" s="11" t="s">
        <v>1270</v>
      </c>
      <c r="I140" s="11" t="s">
        <v>1306</v>
      </c>
    </row>
    <row r="141" spans="2:9" x14ac:dyDescent="0.3">
      <c r="B141" s="3">
        <v>137</v>
      </c>
      <c r="C141" s="12" t="s">
        <v>538</v>
      </c>
      <c r="D141" s="12" t="s">
        <v>541</v>
      </c>
      <c r="E141" s="12" t="s">
        <v>540</v>
      </c>
      <c r="F141" s="3" t="s">
        <v>1335</v>
      </c>
      <c r="G141" s="11"/>
      <c r="H141" s="11" t="s">
        <v>1060</v>
      </c>
      <c r="I141" s="11"/>
    </row>
    <row r="142" spans="2:9" x14ac:dyDescent="0.3">
      <c r="B142" s="3">
        <v>138</v>
      </c>
      <c r="C142" s="12" t="s">
        <v>544</v>
      </c>
      <c r="D142" s="12" t="s">
        <v>546</v>
      </c>
      <c r="E142" s="13" t="s">
        <v>12</v>
      </c>
      <c r="F142" s="3" t="s">
        <v>1311</v>
      </c>
      <c r="G142" s="11" t="s">
        <v>551</v>
      </c>
      <c r="H142" s="11" t="s">
        <v>1312</v>
      </c>
      <c r="I142" s="11" t="s">
        <v>1313</v>
      </c>
    </row>
    <row r="143" spans="2:9" x14ac:dyDescent="0.3">
      <c r="B143" s="3">
        <v>139</v>
      </c>
      <c r="C143" s="7" t="s">
        <v>548</v>
      </c>
      <c r="D143" s="8"/>
      <c r="E143" s="8"/>
      <c r="F143" s="3">
        <v>2</v>
      </c>
      <c r="G143" s="11"/>
      <c r="H143" s="11"/>
      <c r="I143" s="11"/>
    </row>
    <row r="144" spans="2:9" x14ac:dyDescent="0.3">
      <c r="B144" s="3">
        <v>140</v>
      </c>
      <c r="C144" s="7" t="s">
        <v>553</v>
      </c>
      <c r="D144" s="8" t="s">
        <v>1321</v>
      </c>
      <c r="E144" s="8" t="s">
        <v>1322</v>
      </c>
      <c r="F144" s="3" t="s">
        <v>1323</v>
      </c>
      <c r="G144" s="11"/>
      <c r="H144" s="11" t="s">
        <v>1324</v>
      </c>
      <c r="I144" s="11"/>
    </row>
    <row r="145" spans="2:9" x14ac:dyDescent="0.3">
      <c r="B145" s="3">
        <v>141</v>
      </c>
      <c r="C145" s="7" t="s">
        <v>554</v>
      </c>
      <c r="D145" s="8" t="s">
        <v>1327</v>
      </c>
      <c r="E145" s="8" t="s">
        <v>1330</v>
      </c>
      <c r="F145" s="3" t="s">
        <v>1328</v>
      </c>
      <c r="G145" s="11" t="s">
        <v>1146</v>
      </c>
      <c r="H145" s="11" t="s">
        <v>1147</v>
      </c>
      <c r="I145" s="11" t="s">
        <v>1329</v>
      </c>
    </row>
    <row r="146" spans="2:9" x14ac:dyDescent="0.3">
      <c r="B146" s="3">
        <v>142</v>
      </c>
      <c r="C146" s="7" t="s">
        <v>556</v>
      </c>
      <c r="D146" s="8"/>
      <c r="E146" s="8"/>
      <c r="F146" s="3">
        <v>2</v>
      </c>
      <c r="G146" s="11"/>
      <c r="H146" s="11"/>
      <c r="I146" s="11"/>
    </row>
    <row r="147" spans="2:9" x14ac:dyDescent="0.3">
      <c r="B147" s="3">
        <v>143</v>
      </c>
      <c r="C147" s="7" t="s">
        <v>558</v>
      </c>
      <c r="D147" s="8"/>
      <c r="E147" s="8"/>
      <c r="F147" s="3">
        <v>2</v>
      </c>
      <c r="G147" s="11"/>
      <c r="H147" s="11"/>
      <c r="I147" s="11"/>
    </row>
    <row r="148" spans="2:9" x14ac:dyDescent="0.3">
      <c r="B148" s="3">
        <v>144</v>
      </c>
      <c r="C148" s="7" t="s">
        <v>563</v>
      </c>
      <c r="D148" s="8"/>
      <c r="E148" s="8"/>
      <c r="F148" s="3">
        <v>2</v>
      </c>
      <c r="G148" s="11"/>
      <c r="H148" s="11"/>
      <c r="I148" s="11"/>
    </row>
    <row r="149" spans="2:9" x14ac:dyDescent="0.3">
      <c r="B149" s="3">
        <v>145</v>
      </c>
      <c r="C149" s="7" t="s">
        <v>564</v>
      </c>
      <c r="D149" s="8" t="s">
        <v>1339</v>
      </c>
      <c r="E149" s="8" t="s">
        <v>1340</v>
      </c>
      <c r="F149" s="3" t="s">
        <v>931</v>
      </c>
      <c r="G149" s="11" t="s">
        <v>932</v>
      </c>
      <c r="H149" s="11" t="s">
        <v>1342</v>
      </c>
      <c r="I149" s="11" t="s">
        <v>1343</v>
      </c>
    </row>
    <row r="150" spans="2:9" x14ac:dyDescent="0.3">
      <c r="B150" s="3">
        <v>146</v>
      </c>
      <c r="C150" s="7" t="s">
        <v>568</v>
      </c>
      <c r="D150" s="8"/>
      <c r="E150" s="8"/>
      <c r="F150" s="3">
        <v>2</v>
      </c>
      <c r="G150" s="11"/>
      <c r="H150" s="11"/>
      <c r="I150" s="11"/>
    </row>
    <row r="151" spans="2:9" x14ac:dyDescent="0.3">
      <c r="B151" s="3">
        <v>147</v>
      </c>
      <c r="C151" s="7" t="s">
        <v>569</v>
      </c>
      <c r="D151" s="8"/>
      <c r="E151" s="8"/>
      <c r="F151" s="3">
        <v>2</v>
      </c>
      <c r="G151" s="11"/>
      <c r="H151" s="11"/>
      <c r="I151" s="11"/>
    </row>
    <row r="152" spans="2:9" x14ac:dyDescent="0.3">
      <c r="B152" s="3">
        <v>148</v>
      </c>
      <c r="C152" s="7" t="s">
        <v>573</v>
      </c>
      <c r="D152" s="8" t="s">
        <v>1349</v>
      </c>
      <c r="E152" s="8" t="s">
        <v>366</v>
      </c>
      <c r="F152" s="3" t="s">
        <v>1350</v>
      </c>
      <c r="G152" s="11" t="s">
        <v>1351</v>
      </c>
      <c r="H152" s="11"/>
      <c r="I152" s="11"/>
    </row>
    <row r="153" spans="2:9" x14ac:dyDescent="0.3">
      <c r="B153" s="3">
        <v>149</v>
      </c>
      <c r="C153" s="7" t="s">
        <v>577</v>
      </c>
      <c r="D153" s="8" t="s">
        <v>1363</v>
      </c>
      <c r="E153" s="8" t="s">
        <v>1364</v>
      </c>
      <c r="F153" s="3" t="s">
        <v>1357</v>
      </c>
      <c r="G153" s="11" t="s">
        <v>1358</v>
      </c>
      <c r="H153" s="11" t="s">
        <v>1359</v>
      </c>
      <c r="I153" s="11" t="s">
        <v>1360</v>
      </c>
    </row>
    <row r="154" spans="2:9" x14ac:dyDescent="0.3">
      <c r="B154" s="3">
        <v>150</v>
      </c>
      <c r="C154" s="7" t="s">
        <v>581</v>
      </c>
      <c r="D154" s="8"/>
      <c r="E154" s="8"/>
      <c r="F154" s="3">
        <v>2</v>
      </c>
      <c r="G154" s="11"/>
      <c r="H154" s="11"/>
      <c r="I154" s="11"/>
    </row>
    <row r="155" spans="2:9" x14ac:dyDescent="0.3">
      <c r="B155" s="3">
        <v>151</v>
      </c>
      <c r="C155" s="7" t="s">
        <v>584</v>
      </c>
      <c r="D155" s="8"/>
      <c r="E155" s="8"/>
      <c r="F155" s="3"/>
      <c r="G155" s="11"/>
      <c r="H155" s="11"/>
      <c r="I155" s="11"/>
    </row>
    <row r="156" spans="2:9" x14ac:dyDescent="0.3">
      <c r="B156" s="3">
        <v>152</v>
      </c>
      <c r="C156" s="7" t="s">
        <v>586</v>
      </c>
      <c r="D156" s="10" t="s">
        <v>1367</v>
      </c>
      <c r="E156" s="10" t="s">
        <v>288</v>
      </c>
      <c r="F156" s="3" t="s">
        <v>1368</v>
      </c>
      <c r="G156" s="11" t="s">
        <v>1369</v>
      </c>
      <c r="H156" s="11" t="s">
        <v>1370</v>
      </c>
      <c r="I156" s="11" t="s">
        <v>1371</v>
      </c>
    </row>
    <row r="157" spans="2:9" x14ac:dyDescent="0.3">
      <c r="B157" s="3">
        <v>153</v>
      </c>
      <c r="C157" s="7" t="s">
        <v>590</v>
      </c>
      <c r="D157" s="10" t="s">
        <v>1367</v>
      </c>
      <c r="E157" s="10" t="s">
        <v>288</v>
      </c>
      <c r="F157" s="3" t="s">
        <v>1366</v>
      </c>
      <c r="G157" s="11" t="s">
        <v>1377</v>
      </c>
      <c r="H157" s="11"/>
      <c r="I157" s="11"/>
    </row>
    <row r="158" spans="2:9" x14ac:dyDescent="0.3">
      <c r="B158" s="3">
        <v>154</v>
      </c>
      <c r="C158" s="7" t="s">
        <v>591</v>
      </c>
      <c r="D158" s="8"/>
      <c r="E158" s="8"/>
      <c r="F158" s="3">
        <v>2</v>
      </c>
      <c r="G158" s="11"/>
      <c r="H158" s="11"/>
      <c r="I158" s="11"/>
    </row>
    <row r="159" spans="2:9" x14ac:dyDescent="0.3">
      <c r="B159" s="3">
        <v>155</v>
      </c>
      <c r="C159" s="7" t="s">
        <v>595</v>
      </c>
      <c r="D159" s="8" t="s">
        <v>124</v>
      </c>
      <c r="E159" s="8" t="s">
        <v>123</v>
      </c>
      <c r="F159" s="64" t="s">
        <v>1383</v>
      </c>
      <c r="G159" s="11" t="s">
        <v>918</v>
      </c>
      <c r="H159" s="11" t="s">
        <v>1384</v>
      </c>
      <c r="I159" s="11" t="s">
        <v>1385</v>
      </c>
    </row>
    <row r="160" spans="2:9" x14ac:dyDescent="0.3">
      <c r="B160" s="3">
        <v>156</v>
      </c>
      <c r="C160" s="7" t="s">
        <v>597</v>
      </c>
      <c r="D160" s="8" t="s">
        <v>1388</v>
      </c>
      <c r="E160" s="8" t="s">
        <v>1389</v>
      </c>
      <c r="F160" s="3" t="s">
        <v>1392</v>
      </c>
      <c r="G160" s="11" t="s">
        <v>1393</v>
      </c>
      <c r="H160" s="11" t="s">
        <v>1394</v>
      </c>
      <c r="I160" s="11" t="s">
        <v>1395</v>
      </c>
    </row>
    <row r="161" spans="2:9" x14ac:dyDescent="0.3">
      <c r="B161" s="3">
        <v>157</v>
      </c>
      <c r="C161" s="12" t="s">
        <v>599</v>
      </c>
      <c r="D161" s="12" t="s">
        <v>601</v>
      </c>
      <c r="E161" s="13" t="s">
        <v>12</v>
      </c>
      <c r="F161" s="15"/>
      <c r="G161" s="11"/>
      <c r="H161" s="11"/>
      <c r="I161" s="11"/>
    </row>
    <row r="162" spans="2:9" x14ac:dyDescent="0.3">
      <c r="B162" s="3">
        <v>158</v>
      </c>
      <c r="C162" s="7" t="s">
        <v>603</v>
      </c>
      <c r="D162" s="8"/>
      <c r="E162" s="8"/>
      <c r="F162" s="3">
        <v>2</v>
      </c>
      <c r="G162" s="11"/>
      <c r="H162" s="11"/>
      <c r="I162" s="11"/>
    </row>
    <row r="163" spans="2:9" x14ac:dyDescent="0.3">
      <c r="B163" s="3">
        <v>159</v>
      </c>
      <c r="C163" s="12" t="s">
        <v>606</v>
      </c>
      <c r="D163" s="12" t="s">
        <v>609</v>
      </c>
      <c r="E163" s="12" t="s">
        <v>608</v>
      </c>
      <c r="F163" s="15"/>
      <c r="G163" s="11"/>
      <c r="H163" s="11"/>
      <c r="I163" s="11"/>
    </row>
    <row r="164" spans="2:9" x14ac:dyDescent="0.3">
      <c r="B164" s="3">
        <v>160</v>
      </c>
      <c r="C164" s="7" t="s">
        <v>612</v>
      </c>
      <c r="D164" s="8"/>
      <c r="E164" s="8"/>
      <c r="F164" s="3">
        <v>2</v>
      </c>
      <c r="G164" s="11"/>
      <c r="H164" s="11"/>
      <c r="I164" s="11"/>
    </row>
    <row r="165" spans="2:9" x14ac:dyDescent="0.3">
      <c r="B165" s="3">
        <v>161</v>
      </c>
      <c r="C165" s="7" t="s">
        <v>616</v>
      </c>
      <c r="D165" s="8" t="s">
        <v>1339</v>
      </c>
      <c r="E165" s="8"/>
      <c r="F165" s="3" t="s">
        <v>1404</v>
      </c>
      <c r="G165" s="11" t="s">
        <v>1405</v>
      </c>
      <c r="H165" s="11" t="s">
        <v>1384</v>
      </c>
      <c r="I165" s="11" t="s">
        <v>1406</v>
      </c>
    </row>
    <row r="166" spans="2:9" x14ac:dyDescent="0.3">
      <c r="B166" s="3">
        <v>162</v>
      </c>
      <c r="C166" s="7" t="s">
        <v>618</v>
      </c>
      <c r="D166" s="8" t="s">
        <v>183</v>
      </c>
      <c r="E166" s="8" t="s">
        <v>1414</v>
      </c>
      <c r="F166" s="3" t="s">
        <v>1415</v>
      </c>
      <c r="G166" s="11"/>
      <c r="H166" s="11" t="s">
        <v>1012</v>
      </c>
      <c r="I166" s="11"/>
    </row>
    <row r="167" spans="2:9" x14ac:dyDescent="0.3">
      <c r="B167" s="3">
        <v>163</v>
      </c>
      <c r="C167" s="7" t="s">
        <v>619</v>
      </c>
      <c r="D167" s="8"/>
      <c r="E167" s="8"/>
      <c r="F167" s="3">
        <v>2</v>
      </c>
      <c r="G167" s="11"/>
      <c r="H167" s="11"/>
      <c r="I167" s="11"/>
    </row>
    <row r="168" spans="2:9" x14ac:dyDescent="0.3">
      <c r="B168" s="3">
        <v>164</v>
      </c>
      <c r="C168" s="7" t="s">
        <v>622</v>
      </c>
      <c r="D168" s="8"/>
      <c r="E168" s="8"/>
      <c r="F168" s="3">
        <v>2</v>
      </c>
      <c r="G168" s="11"/>
      <c r="H168" s="11"/>
      <c r="I168" s="11"/>
    </row>
    <row r="169" spans="2:9" x14ac:dyDescent="0.3">
      <c r="B169" s="3">
        <v>165</v>
      </c>
      <c r="C169" s="7" t="s">
        <v>626</v>
      </c>
      <c r="D169" s="8"/>
      <c r="E169" s="8"/>
      <c r="F169" s="3">
        <v>2</v>
      </c>
      <c r="G169" s="11"/>
      <c r="H169" s="11"/>
      <c r="I169" s="11"/>
    </row>
    <row r="170" spans="2:9" x14ac:dyDescent="0.3">
      <c r="B170" s="3">
        <v>166</v>
      </c>
      <c r="C170" s="7" t="s">
        <v>628</v>
      </c>
      <c r="D170" s="8"/>
      <c r="E170" s="8"/>
      <c r="F170" s="3">
        <v>2</v>
      </c>
      <c r="G170" s="11"/>
      <c r="H170" s="11"/>
      <c r="I170" s="11"/>
    </row>
    <row r="171" spans="2:9" x14ac:dyDescent="0.3">
      <c r="B171" s="3">
        <v>167</v>
      </c>
      <c r="C171" s="12" t="s">
        <v>632</v>
      </c>
      <c r="D171" s="12" t="s">
        <v>635</v>
      </c>
      <c r="E171" s="12" t="s">
        <v>634</v>
      </c>
      <c r="F171" s="3" t="s">
        <v>1420</v>
      </c>
      <c r="G171" s="11" t="s">
        <v>1234</v>
      </c>
      <c r="H171" s="11" t="s">
        <v>1421</v>
      </c>
      <c r="I171" s="11" t="s">
        <v>1422</v>
      </c>
    </row>
    <row r="172" spans="2:9" x14ac:dyDescent="0.3">
      <c r="B172" s="3">
        <v>168</v>
      </c>
      <c r="C172" s="12" t="s">
        <v>639</v>
      </c>
      <c r="D172" s="12" t="s">
        <v>414</v>
      </c>
      <c r="E172" s="12" t="s">
        <v>413</v>
      </c>
      <c r="F172" s="3" t="s">
        <v>1425</v>
      </c>
      <c r="G172" s="11" t="s">
        <v>1426</v>
      </c>
      <c r="H172" s="11" t="s">
        <v>1427</v>
      </c>
      <c r="I172" s="11"/>
    </row>
    <row r="173" spans="2:9" x14ac:dyDescent="0.3">
      <c r="B173" s="3">
        <v>169</v>
      </c>
      <c r="C173" s="7" t="s">
        <v>643</v>
      </c>
      <c r="D173" s="8"/>
      <c r="E173" s="8"/>
      <c r="F173" s="3">
        <v>2</v>
      </c>
      <c r="G173" s="11"/>
      <c r="H173" s="11"/>
      <c r="I173" s="11"/>
    </row>
    <row r="174" spans="2:9" x14ac:dyDescent="0.3">
      <c r="B174" s="3">
        <v>170</v>
      </c>
      <c r="C174" s="12" t="s">
        <v>646</v>
      </c>
      <c r="D174" s="12" t="s">
        <v>649</v>
      </c>
      <c r="E174" s="12" t="s">
        <v>648</v>
      </c>
      <c r="F174" s="3" t="s">
        <v>1324</v>
      </c>
      <c r="G174" s="11" t="s">
        <v>1430</v>
      </c>
      <c r="H174" s="11" t="s">
        <v>1324</v>
      </c>
      <c r="I174" s="11" t="s">
        <v>1431</v>
      </c>
    </row>
    <row r="175" spans="2:9" x14ac:dyDescent="0.3">
      <c r="B175" s="3">
        <v>171</v>
      </c>
      <c r="C175" s="7" t="s">
        <v>652</v>
      </c>
      <c r="D175" s="8" t="s">
        <v>1434</v>
      </c>
      <c r="E175" s="8"/>
      <c r="F175" s="3" t="s">
        <v>1436</v>
      </c>
      <c r="G175" s="11" t="s">
        <v>1437</v>
      </c>
      <c r="H175" s="11" t="s">
        <v>892</v>
      </c>
      <c r="I175" s="11" t="s">
        <v>893</v>
      </c>
    </row>
    <row r="176" spans="2:9" x14ac:dyDescent="0.3">
      <c r="B176" s="3">
        <v>172</v>
      </c>
      <c r="C176" s="7" t="s">
        <v>655</v>
      </c>
      <c r="D176" s="8" t="s">
        <v>1440</v>
      </c>
      <c r="E176" s="8" t="s">
        <v>1441</v>
      </c>
      <c r="F176" s="3" t="s">
        <v>962</v>
      </c>
      <c r="G176" s="11"/>
      <c r="H176" s="11" t="s">
        <v>1442</v>
      </c>
      <c r="I176" s="11"/>
    </row>
    <row r="177" spans="2:9" x14ac:dyDescent="0.3">
      <c r="B177" s="3">
        <v>173</v>
      </c>
      <c r="C177" s="7" t="s">
        <v>658</v>
      </c>
      <c r="D177" s="8"/>
      <c r="E177" s="8"/>
      <c r="F177" s="3">
        <v>2</v>
      </c>
      <c r="G177" s="11"/>
      <c r="H177" s="11"/>
      <c r="I177" s="11"/>
    </row>
    <row r="178" spans="2:9" x14ac:dyDescent="0.3">
      <c r="B178" s="3">
        <v>174</v>
      </c>
      <c r="C178" s="7" t="s">
        <v>662</v>
      </c>
      <c r="D178" s="8"/>
      <c r="E178" s="8"/>
      <c r="F178" s="3">
        <v>2</v>
      </c>
      <c r="G178" s="11"/>
      <c r="H178" s="11"/>
      <c r="I178" s="11"/>
    </row>
    <row r="179" spans="2:9" x14ac:dyDescent="0.3">
      <c r="B179" s="3">
        <v>175</v>
      </c>
      <c r="C179" s="7" t="s">
        <v>664</v>
      </c>
      <c r="D179" s="8" t="s">
        <v>97</v>
      </c>
      <c r="E179" s="8" t="s">
        <v>96</v>
      </c>
      <c r="F179" s="3">
        <v>2</v>
      </c>
      <c r="G179" s="11"/>
      <c r="H179" s="11"/>
      <c r="I179" s="11"/>
    </row>
    <row r="180" spans="2:9" x14ac:dyDescent="0.3">
      <c r="B180" s="3">
        <v>176</v>
      </c>
      <c r="C180" s="7" t="s">
        <v>667</v>
      </c>
      <c r="D180" s="8"/>
      <c r="E180" s="8"/>
      <c r="F180" s="3">
        <v>2</v>
      </c>
      <c r="G180" s="11"/>
      <c r="H180" s="11"/>
      <c r="I180" s="11"/>
    </row>
    <row r="181" spans="2:9" x14ac:dyDescent="0.3">
      <c r="B181" s="61">
        <v>177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9"/>
  <sheetViews>
    <sheetView workbookViewId="0"/>
  </sheetViews>
  <sheetFormatPr defaultRowHeight="14.4" x14ac:dyDescent="0.3"/>
  <cols>
    <col min="2" max="2" width="37.5546875" bestFit="1" customWidth="1"/>
    <col min="3" max="3" width="34.33203125" customWidth="1"/>
    <col min="4" max="4" width="11.109375" bestFit="1" customWidth="1"/>
  </cols>
  <sheetData>
    <row r="1" spans="1:4" ht="18" x14ac:dyDescent="0.3">
      <c r="A1" s="6" t="s">
        <v>670</v>
      </c>
      <c r="B1" s="6" t="s">
        <v>871</v>
      </c>
      <c r="C1" s="6" t="s">
        <v>872</v>
      </c>
      <c r="D1" s="6" t="s">
        <v>683</v>
      </c>
    </row>
    <row r="2" spans="1:4" ht="82.8" x14ac:dyDescent="0.3">
      <c r="A2" s="25"/>
      <c r="B2" s="7" t="s">
        <v>0</v>
      </c>
      <c r="C2" s="21" t="s">
        <v>694</v>
      </c>
      <c r="D2" s="11" t="s">
        <v>695</v>
      </c>
    </row>
    <row r="3" spans="1:4" ht="82.8" x14ac:dyDescent="0.3">
      <c r="A3" s="25"/>
      <c r="B3" s="12" t="s">
        <v>7</v>
      </c>
      <c r="C3" s="21" t="s">
        <v>705</v>
      </c>
      <c r="D3" s="11" t="s">
        <v>695</v>
      </c>
    </row>
    <row r="4" spans="1:4" x14ac:dyDescent="0.3">
      <c r="A4" s="25"/>
      <c r="B4" s="7" t="s">
        <v>14</v>
      </c>
      <c r="C4" s="11"/>
      <c r="D4" s="11"/>
    </row>
    <row r="5" spans="1:4" x14ac:dyDescent="0.3">
      <c r="A5" s="25"/>
      <c r="B5" s="7" t="s">
        <v>17</v>
      </c>
      <c r="C5" s="11"/>
      <c r="D5" s="11"/>
    </row>
    <row r="6" spans="1:4" ht="82.8" x14ac:dyDescent="0.3">
      <c r="A6" s="25"/>
      <c r="B6" s="7" t="s">
        <v>21</v>
      </c>
      <c r="C6" s="21" t="s">
        <v>715</v>
      </c>
      <c r="D6" s="11" t="s">
        <v>716</v>
      </c>
    </row>
    <row r="7" spans="1:4" ht="138" x14ac:dyDescent="0.3">
      <c r="A7" s="25"/>
      <c r="B7" s="7" t="s">
        <v>23</v>
      </c>
      <c r="C7" s="21" t="s">
        <v>722</v>
      </c>
      <c r="D7" s="11"/>
    </row>
    <row r="8" spans="1:4" ht="96.6" x14ac:dyDescent="0.3">
      <c r="A8" s="25"/>
      <c r="B8" s="7" t="s">
        <v>27</v>
      </c>
      <c r="C8" s="21" t="s">
        <v>730</v>
      </c>
      <c r="D8" s="11"/>
    </row>
    <row r="9" spans="1:4" x14ac:dyDescent="0.3">
      <c r="A9" s="25"/>
      <c r="B9" s="7" t="s">
        <v>31</v>
      </c>
      <c r="C9" s="11"/>
      <c r="D9" s="11"/>
    </row>
    <row r="10" spans="1:4" x14ac:dyDescent="0.3">
      <c r="A10" s="25"/>
      <c r="B10" s="7" t="s">
        <v>35</v>
      </c>
      <c r="C10" s="11"/>
      <c r="D10" s="11"/>
    </row>
    <row r="11" spans="1:4" ht="220.8" x14ac:dyDescent="0.3">
      <c r="A11" s="25"/>
      <c r="B11" s="7" t="s">
        <v>37</v>
      </c>
      <c r="C11" s="21" t="s">
        <v>737</v>
      </c>
      <c r="D11" s="11" t="s">
        <v>738</v>
      </c>
    </row>
    <row r="12" spans="1:4" ht="82.8" x14ac:dyDescent="0.3">
      <c r="A12" s="25"/>
      <c r="B12" s="12" t="s">
        <v>41</v>
      </c>
      <c r="C12" s="21" t="s">
        <v>744</v>
      </c>
      <c r="D12" s="11" t="s">
        <v>745</v>
      </c>
    </row>
    <row r="13" spans="1:4" x14ac:dyDescent="0.3">
      <c r="A13" s="25"/>
      <c r="B13" s="7" t="s">
        <v>47</v>
      </c>
      <c r="C13" s="11"/>
      <c r="D13" s="11"/>
    </row>
    <row r="14" spans="1:4" ht="82.8" x14ac:dyDescent="0.3">
      <c r="A14" s="25"/>
      <c r="B14" s="7" t="s">
        <v>51</v>
      </c>
      <c r="C14" s="21" t="s">
        <v>896</v>
      </c>
      <c r="D14" s="11"/>
    </row>
    <row r="15" spans="1:4" x14ac:dyDescent="0.3">
      <c r="A15" s="25"/>
      <c r="B15" s="7" t="s">
        <v>59</v>
      </c>
      <c r="C15" s="11"/>
      <c r="D15" s="11"/>
    </row>
    <row r="16" spans="1:4" ht="55.2" x14ac:dyDescent="0.3">
      <c r="A16" s="25"/>
      <c r="B16" s="12" t="s">
        <v>61</v>
      </c>
      <c r="C16" s="21" t="s">
        <v>899</v>
      </c>
      <c r="D16" s="11"/>
    </row>
    <row r="17" spans="1:4" x14ac:dyDescent="0.3">
      <c r="A17" s="25"/>
      <c r="B17" s="7" t="s">
        <v>68</v>
      </c>
      <c r="C17" s="11"/>
      <c r="D17" s="11"/>
    </row>
    <row r="18" spans="1:4" x14ac:dyDescent="0.3">
      <c r="A18" s="25"/>
      <c r="B18" s="7" t="s">
        <v>69</v>
      </c>
      <c r="C18" s="11"/>
      <c r="D18" s="11"/>
    </row>
    <row r="19" spans="1:4" x14ac:dyDescent="0.3">
      <c r="A19" s="25"/>
      <c r="B19" s="7" t="s">
        <v>73</v>
      </c>
      <c r="C19" s="11"/>
      <c r="D19" s="11"/>
    </row>
    <row r="20" spans="1:4" x14ac:dyDescent="0.3">
      <c r="A20" s="25"/>
      <c r="B20" s="7" t="s">
        <v>77</v>
      </c>
      <c r="C20" s="11"/>
      <c r="D20" s="11"/>
    </row>
    <row r="21" spans="1:4" x14ac:dyDescent="0.3">
      <c r="A21" s="25"/>
      <c r="B21" s="12" t="s">
        <v>78</v>
      </c>
      <c r="C21" s="11"/>
      <c r="D21" s="11"/>
    </row>
    <row r="22" spans="1:4" ht="151.80000000000001" x14ac:dyDescent="0.3">
      <c r="A22" s="25"/>
      <c r="B22" s="7" t="s">
        <v>83</v>
      </c>
      <c r="C22" s="49" t="s">
        <v>905</v>
      </c>
      <c r="D22" s="11"/>
    </row>
    <row r="23" spans="1:4" x14ac:dyDescent="0.3">
      <c r="A23" s="25"/>
      <c r="B23" s="7" t="s">
        <v>89</v>
      </c>
      <c r="C23" s="11"/>
      <c r="D23" s="11"/>
    </row>
    <row r="24" spans="1:4" x14ac:dyDescent="0.3">
      <c r="A24" s="25"/>
      <c r="B24" s="7" t="s">
        <v>94</v>
      </c>
      <c r="C24" s="11"/>
      <c r="D24" s="11"/>
    </row>
    <row r="25" spans="1:4" x14ac:dyDescent="0.3">
      <c r="A25" s="25"/>
      <c r="B25" s="7" t="s">
        <v>101</v>
      </c>
      <c r="C25" s="11"/>
      <c r="D25" s="11"/>
    </row>
    <row r="26" spans="1:4" x14ac:dyDescent="0.3">
      <c r="A26" s="25"/>
      <c r="B26" s="7" t="s">
        <v>103</v>
      </c>
      <c r="C26" s="11"/>
      <c r="D26" s="11"/>
    </row>
    <row r="27" spans="1:4" ht="124.2" x14ac:dyDescent="0.3">
      <c r="A27" s="25"/>
      <c r="B27" s="7" t="s">
        <v>105</v>
      </c>
      <c r="C27" s="21" t="s">
        <v>915</v>
      </c>
      <c r="D27" s="11"/>
    </row>
    <row r="28" spans="1:4" x14ac:dyDescent="0.3">
      <c r="A28" s="25"/>
      <c r="B28" s="7" t="s">
        <v>111</v>
      </c>
      <c r="C28" s="11"/>
      <c r="D28" s="11"/>
    </row>
    <row r="29" spans="1:4" x14ac:dyDescent="0.3">
      <c r="A29" s="25"/>
      <c r="B29" s="7" t="s">
        <v>115</v>
      </c>
      <c r="C29" s="11"/>
      <c r="D29" s="11"/>
    </row>
    <row r="30" spans="1:4" ht="138" x14ac:dyDescent="0.3">
      <c r="A30" s="25"/>
      <c r="B30" s="12" t="s">
        <v>121</v>
      </c>
      <c r="C30" s="51" t="s">
        <v>924</v>
      </c>
      <c r="D30" s="11"/>
    </row>
    <row r="31" spans="1:4" x14ac:dyDescent="0.3">
      <c r="A31" s="25"/>
      <c r="B31" s="7" t="s">
        <v>126</v>
      </c>
      <c r="C31" s="11"/>
      <c r="D31" s="11"/>
    </row>
    <row r="32" spans="1:4" x14ac:dyDescent="0.3">
      <c r="A32" s="25"/>
      <c r="B32" s="7" t="s">
        <v>128</v>
      </c>
      <c r="C32" s="11"/>
      <c r="D32" s="11"/>
    </row>
    <row r="33" spans="1:4" ht="82.8" x14ac:dyDescent="0.3">
      <c r="A33" s="25"/>
      <c r="B33" s="7" t="s">
        <v>132</v>
      </c>
      <c r="C33" s="21" t="s">
        <v>933</v>
      </c>
      <c r="D33" s="11"/>
    </row>
    <row r="34" spans="1:4" ht="82.8" x14ac:dyDescent="0.3">
      <c r="A34" s="25"/>
      <c r="B34" s="7" t="s">
        <v>135</v>
      </c>
      <c r="C34" s="21" t="s">
        <v>939</v>
      </c>
      <c r="D34" s="11"/>
    </row>
    <row r="35" spans="1:4" x14ac:dyDescent="0.3">
      <c r="A35" s="25"/>
      <c r="B35" s="12" t="s">
        <v>141</v>
      </c>
      <c r="C35" s="11"/>
      <c r="D35" s="11"/>
    </row>
    <row r="36" spans="1:4" x14ac:dyDescent="0.3">
      <c r="A36" s="25"/>
      <c r="B36" s="7" t="s">
        <v>147</v>
      </c>
      <c r="C36" s="11"/>
      <c r="D36" s="11"/>
    </row>
    <row r="37" spans="1:4" x14ac:dyDescent="0.3">
      <c r="A37" s="25"/>
      <c r="B37" s="7" t="s">
        <v>150</v>
      </c>
      <c r="C37" s="11"/>
      <c r="D37" s="11"/>
    </row>
    <row r="38" spans="1:4" ht="124.2" x14ac:dyDescent="0.3">
      <c r="A38" s="25"/>
      <c r="B38" s="7" t="s">
        <v>154</v>
      </c>
      <c r="C38" s="21" t="s">
        <v>950</v>
      </c>
      <c r="D38" s="11"/>
    </row>
    <row r="39" spans="1:4" x14ac:dyDescent="0.3">
      <c r="A39" s="25"/>
      <c r="B39" s="7" t="s">
        <v>157</v>
      </c>
      <c r="C39" s="11"/>
      <c r="D39" s="11"/>
    </row>
    <row r="40" spans="1:4" x14ac:dyDescent="0.3">
      <c r="A40" s="25"/>
      <c r="B40" s="7" t="s">
        <v>161</v>
      </c>
      <c r="C40" s="11"/>
      <c r="D40" s="11"/>
    </row>
    <row r="41" spans="1:4" x14ac:dyDescent="0.3">
      <c r="A41" s="25"/>
      <c r="B41" s="12" t="s">
        <v>164</v>
      </c>
      <c r="C41" s="11"/>
      <c r="D41" s="11"/>
    </row>
    <row r="42" spans="1:4" x14ac:dyDescent="0.3">
      <c r="A42" s="25"/>
      <c r="B42" s="7" t="s">
        <v>167</v>
      </c>
      <c r="C42" s="11"/>
      <c r="D42" s="11"/>
    </row>
    <row r="43" spans="1:4" x14ac:dyDescent="0.3">
      <c r="A43" s="25"/>
      <c r="B43" s="7" t="s">
        <v>170</v>
      </c>
      <c r="C43" s="11"/>
      <c r="D43" s="11"/>
    </row>
    <row r="44" spans="1:4" ht="179.4" x14ac:dyDescent="0.3">
      <c r="A44" s="25"/>
      <c r="B44" s="7" t="s">
        <v>173</v>
      </c>
      <c r="C44" s="21" t="s">
        <v>958</v>
      </c>
      <c r="D44" s="11"/>
    </row>
    <row r="45" spans="1:4" ht="82.8" x14ac:dyDescent="0.3">
      <c r="A45" s="25"/>
      <c r="B45" s="7" t="s">
        <v>976</v>
      </c>
      <c r="C45" s="21" t="s">
        <v>977</v>
      </c>
      <c r="D45" s="11"/>
    </row>
    <row r="46" spans="1:4" ht="151.80000000000001" x14ac:dyDescent="0.3">
      <c r="A46" s="25"/>
      <c r="B46" s="12" t="s">
        <v>180</v>
      </c>
      <c r="C46" s="21" t="s">
        <v>963</v>
      </c>
      <c r="D46" s="11"/>
    </row>
    <row r="47" spans="1:4" x14ac:dyDescent="0.3">
      <c r="A47" s="25"/>
      <c r="B47" s="7" t="s">
        <v>185</v>
      </c>
      <c r="C47" s="11"/>
      <c r="D47" s="11"/>
    </row>
    <row r="48" spans="1:4" x14ac:dyDescent="0.3">
      <c r="A48" s="25"/>
      <c r="B48" s="12" t="s">
        <v>189</v>
      </c>
      <c r="C48" s="11"/>
      <c r="D48" s="11"/>
    </row>
    <row r="49" spans="1:4" x14ac:dyDescent="0.3">
      <c r="A49" s="25"/>
      <c r="B49" s="7" t="s">
        <v>194</v>
      </c>
      <c r="C49" s="11"/>
      <c r="D49" s="11"/>
    </row>
    <row r="50" spans="1:4" ht="179.4" x14ac:dyDescent="0.3">
      <c r="A50" s="25"/>
      <c r="B50" s="7" t="s">
        <v>198</v>
      </c>
      <c r="C50" s="21" t="s">
        <v>986</v>
      </c>
      <c r="D50" s="11"/>
    </row>
    <row r="51" spans="1:4" ht="82.8" x14ac:dyDescent="0.3">
      <c r="A51" s="25"/>
      <c r="B51" s="12" t="s">
        <v>200</v>
      </c>
      <c r="C51" s="21" t="s">
        <v>993</v>
      </c>
      <c r="D51" s="11"/>
    </row>
    <row r="52" spans="1:4" ht="303.60000000000002" x14ac:dyDescent="0.3">
      <c r="A52" s="25"/>
      <c r="B52" s="7" t="s">
        <v>206</v>
      </c>
      <c r="C52" s="21" t="s">
        <v>1008</v>
      </c>
      <c r="D52" s="11"/>
    </row>
    <row r="53" spans="1:4" x14ac:dyDescent="0.3">
      <c r="A53" s="25"/>
      <c r="B53" s="7" t="s">
        <v>211</v>
      </c>
      <c r="C53" s="11"/>
      <c r="D53" s="11"/>
    </row>
    <row r="54" spans="1:4" x14ac:dyDescent="0.3">
      <c r="A54" s="25"/>
      <c r="B54" s="54" t="s">
        <v>213</v>
      </c>
      <c r="C54" s="57"/>
      <c r="D54" s="57"/>
    </row>
    <row r="55" spans="1:4" x14ac:dyDescent="0.3">
      <c r="A55" s="25"/>
      <c r="B55" s="54" t="s">
        <v>217</v>
      </c>
      <c r="C55" s="57"/>
      <c r="D55" s="57"/>
    </row>
    <row r="56" spans="1:4" ht="179.4" x14ac:dyDescent="0.3">
      <c r="A56" s="25"/>
      <c r="B56" s="7" t="s">
        <v>221</v>
      </c>
      <c r="C56" s="21" t="s">
        <v>1016</v>
      </c>
      <c r="D56" s="11"/>
    </row>
    <row r="57" spans="1:4" x14ac:dyDescent="0.3">
      <c r="A57" s="25"/>
      <c r="B57" s="54" t="s">
        <v>226</v>
      </c>
      <c r="C57" s="11"/>
      <c r="D57" s="11"/>
    </row>
    <row r="58" spans="1:4" ht="138" x14ac:dyDescent="0.3">
      <c r="A58" s="25"/>
      <c r="B58" s="7" t="s">
        <v>227</v>
      </c>
      <c r="C58" s="21" t="s">
        <v>1023</v>
      </c>
      <c r="D58" s="11"/>
    </row>
    <row r="59" spans="1:4" ht="69" x14ac:dyDescent="0.3">
      <c r="A59" s="25"/>
      <c r="B59" s="7" t="s">
        <v>230</v>
      </c>
      <c r="C59" s="21" t="s">
        <v>1029</v>
      </c>
      <c r="D59" s="11"/>
    </row>
    <row r="60" spans="1:4" ht="124.2" x14ac:dyDescent="0.3">
      <c r="A60" s="25"/>
      <c r="B60" s="12" t="s">
        <v>233</v>
      </c>
      <c r="C60" s="21" t="s">
        <v>1036</v>
      </c>
      <c r="D60" s="11"/>
    </row>
    <row r="61" spans="1:4" ht="69" x14ac:dyDescent="0.3">
      <c r="A61" s="25"/>
      <c r="B61" s="7" t="s">
        <v>240</v>
      </c>
      <c r="C61" s="21" t="s">
        <v>1045</v>
      </c>
      <c r="D61" s="11"/>
    </row>
    <row r="62" spans="1:4" x14ac:dyDescent="0.3">
      <c r="A62" s="25"/>
      <c r="B62" s="7" t="s">
        <v>244</v>
      </c>
      <c r="C62" s="11"/>
      <c r="D62" s="11"/>
    </row>
    <row r="63" spans="1:4" ht="96.6" x14ac:dyDescent="0.3">
      <c r="A63" s="25"/>
      <c r="B63" s="7" t="s">
        <v>246</v>
      </c>
      <c r="C63" s="21" t="s">
        <v>1054</v>
      </c>
      <c r="D63" s="11"/>
    </row>
    <row r="64" spans="1:4" x14ac:dyDescent="0.3">
      <c r="A64" s="25"/>
      <c r="B64" s="7" t="s">
        <v>249</v>
      </c>
      <c r="C64" s="11"/>
      <c r="D64" s="11"/>
    </row>
    <row r="65" spans="1:4" x14ac:dyDescent="0.3">
      <c r="A65" s="25"/>
      <c r="B65" s="12" t="s">
        <v>252</v>
      </c>
      <c r="C65" s="11"/>
      <c r="D65" s="11"/>
    </row>
    <row r="66" spans="1:4" x14ac:dyDescent="0.3">
      <c r="A66" s="25"/>
      <c r="B66" s="7" t="s">
        <v>259</v>
      </c>
      <c r="C66" s="11"/>
      <c r="D66" s="11"/>
    </row>
    <row r="67" spans="1:4" ht="82.8" x14ac:dyDescent="0.3">
      <c r="A67" s="25"/>
      <c r="B67" s="12" t="s">
        <v>262</v>
      </c>
      <c r="C67" s="21" t="s">
        <v>1059</v>
      </c>
      <c r="D67" s="11"/>
    </row>
    <row r="68" spans="1:4" ht="69" x14ac:dyDescent="0.3">
      <c r="A68" s="25"/>
      <c r="B68" s="7" t="s">
        <v>269</v>
      </c>
      <c r="C68" s="21" t="s">
        <v>1067</v>
      </c>
      <c r="D68" s="11"/>
    </row>
    <row r="69" spans="1:4" ht="124.2" x14ac:dyDescent="0.3">
      <c r="A69" s="25"/>
      <c r="B69" s="7" t="s">
        <v>274</v>
      </c>
      <c r="C69" s="21" t="s">
        <v>1074</v>
      </c>
      <c r="D69" s="11"/>
    </row>
    <row r="70" spans="1:4" x14ac:dyDescent="0.3">
      <c r="A70" s="25"/>
      <c r="B70" s="54" t="s">
        <v>278</v>
      </c>
      <c r="C70" s="11"/>
      <c r="D70" s="11"/>
    </row>
    <row r="71" spans="1:4" ht="27.6" x14ac:dyDescent="0.3">
      <c r="A71" s="25"/>
      <c r="B71" s="7" t="s">
        <v>279</v>
      </c>
      <c r="C71" s="21" t="s">
        <v>1088</v>
      </c>
      <c r="D71" s="11"/>
    </row>
    <row r="72" spans="1:4" x14ac:dyDescent="0.3">
      <c r="A72" s="25"/>
      <c r="B72" s="12" t="s">
        <v>280</v>
      </c>
      <c r="C72" s="11"/>
      <c r="D72" s="11"/>
    </row>
    <row r="73" spans="1:4" ht="69" x14ac:dyDescent="0.3">
      <c r="A73" s="25"/>
      <c r="B73" s="12" t="s">
        <v>286</v>
      </c>
      <c r="C73" s="21" t="s">
        <v>1096</v>
      </c>
      <c r="D73" s="11"/>
    </row>
    <row r="74" spans="1:4" x14ac:dyDescent="0.3">
      <c r="A74" s="25"/>
      <c r="B74" s="7" t="s">
        <v>291</v>
      </c>
      <c r="C74" s="11"/>
      <c r="D74" s="11"/>
    </row>
    <row r="75" spans="1:4" ht="124.2" x14ac:dyDescent="0.3">
      <c r="A75" s="25"/>
      <c r="B75" s="7" t="s">
        <v>295</v>
      </c>
      <c r="C75" s="21" t="s">
        <v>1107</v>
      </c>
      <c r="D75" s="11"/>
    </row>
    <row r="76" spans="1:4" ht="41.4" x14ac:dyDescent="0.3">
      <c r="A76" s="25"/>
      <c r="B76" s="7" t="s">
        <v>1112</v>
      </c>
      <c r="C76" s="21" t="s">
        <v>1120</v>
      </c>
      <c r="D76" s="11"/>
    </row>
    <row r="77" spans="1:4" x14ac:dyDescent="0.3">
      <c r="A77" s="25"/>
      <c r="B77" s="7" t="s">
        <v>296</v>
      </c>
      <c r="C77" s="11"/>
      <c r="D77" s="11"/>
    </row>
    <row r="78" spans="1:4" x14ac:dyDescent="0.3">
      <c r="A78" s="25"/>
      <c r="B78" s="7" t="s">
        <v>297</v>
      </c>
      <c r="C78" s="11"/>
      <c r="D78" s="11"/>
    </row>
    <row r="79" spans="1:4" ht="110.4" x14ac:dyDescent="0.3">
      <c r="A79" s="25"/>
      <c r="B79" s="12" t="s">
        <v>301</v>
      </c>
      <c r="C79" s="21" t="s">
        <v>1123</v>
      </c>
      <c r="D79" s="11"/>
    </row>
    <row r="80" spans="1:4" x14ac:dyDescent="0.3">
      <c r="A80" s="25"/>
      <c r="B80" s="7" t="s">
        <v>306</v>
      </c>
      <c r="C80" s="11"/>
      <c r="D80" s="11"/>
    </row>
    <row r="81" spans="1:4" ht="82.8" x14ac:dyDescent="0.3">
      <c r="A81" s="25"/>
      <c r="B81" s="12" t="s">
        <v>307</v>
      </c>
      <c r="C81" s="21" t="s">
        <v>1127</v>
      </c>
      <c r="D81" s="11"/>
    </row>
    <row r="82" spans="1:4" ht="96.6" x14ac:dyDescent="0.3">
      <c r="A82" s="25"/>
      <c r="B82" s="12" t="s">
        <v>312</v>
      </c>
      <c r="C82" s="21" t="s">
        <v>1130</v>
      </c>
      <c r="D82" s="11"/>
    </row>
    <row r="83" spans="1:4" ht="138" x14ac:dyDescent="0.3">
      <c r="A83" s="25"/>
      <c r="B83" s="7" t="s">
        <v>318</v>
      </c>
      <c r="C83" s="21" t="s">
        <v>1139</v>
      </c>
      <c r="D83" s="11"/>
    </row>
    <row r="84" spans="1:4" x14ac:dyDescent="0.3">
      <c r="A84" s="25"/>
      <c r="B84" s="7" t="s">
        <v>319</v>
      </c>
      <c r="C84" s="11"/>
      <c r="D84" s="11"/>
    </row>
    <row r="85" spans="1:4" ht="138" x14ac:dyDescent="0.3">
      <c r="A85" s="25"/>
      <c r="B85" s="12" t="s">
        <v>322</v>
      </c>
      <c r="C85" s="21" t="s">
        <v>1148</v>
      </c>
      <c r="D85" s="11"/>
    </row>
    <row r="86" spans="1:4" ht="110.4" x14ac:dyDescent="0.3">
      <c r="A86" s="25"/>
      <c r="B86" s="12" t="s">
        <v>327</v>
      </c>
      <c r="C86" s="21" t="s">
        <v>1152</v>
      </c>
      <c r="D86" s="11"/>
    </row>
    <row r="87" spans="1:4" x14ac:dyDescent="0.3">
      <c r="A87" s="25"/>
      <c r="B87" s="7" t="s">
        <v>333</v>
      </c>
      <c r="C87" s="11"/>
      <c r="D87" s="11"/>
    </row>
    <row r="88" spans="1:4" ht="110.4" x14ac:dyDescent="0.3">
      <c r="A88" s="25"/>
      <c r="B88" s="7" t="s">
        <v>336</v>
      </c>
      <c r="C88" s="21" t="s">
        <v>1156</v>
      </c>
      <c r="D88" s="11"/>
    </row>
    <row r="89" spans="1:4" x14ac:dyDescent="0.3">
      <c r="A89" s="25"/>
      <c r="B89" s="7" t="s">
        <v>340</v>
      </c>
      <c r="C89" s="11"/>
      <c r="D89" s="11"/>
    </row>
    <row r="90" spans="1:4" x14ac:dyDescent="0.3">
      <c r="A90" s="25"/>
      <c r="B90" s="12" t="s">
        <v>341</v>
      </c>
      <c r="C90" s="11"/>
      <c r="D90" s="11"/>
    </row>
    <row r="91" spans="1:4" ht="82.8" x14ac:dyDescent="0.3">
      <c r="A91" s="25"/>
      <c r="B91" s="7" t="s">
        <v>347</v>
      </c>
      <c r="C91" s="21" t="s">
        <v>1169</v>
      </c>
      <c r="D91" s="11"/>
    </row>
    <row r="92" spans="1:4" ht="69" x14ac:dyDescent="0.3">
      <c r="A92" s="25"/>
      <c r="B92" s="12" t="s">
        <v>351</v>
      </c>
      <c r="C92" s="21" t="s">
        <v>1179</v>
      </c>
      <c r="D92" s="11"/>
    </row>
    <row r="93" spans="1:4" x14ac:dyDescent="0.3">
      <c r="A93" s="25"/>
      <c r="B93" s="7" t="s">
        <v>356</v>
      </c>
      <c r="C93" s="11"/>
      <c r="D93" s="11"/>
    </row>
    <row r="94" spans="1:4" x14ac:dyDescent="0.3">
      <c r="A94" s="25"/>
      <c r="B94" s="7" t="s">
        <v>359</v>
      </c>
      <c r="C94" s="11"/>
      <c r="D94" s="11"/>
    </row>
    <row r="95" spans="1:4" x14ac:dyDescent="0.3">
      <c r="A95" s="25"/>
      <c r="B95" s="7" t="s">
        <v>362</v>
      </c>
      <c r="C95" s="11"/>
      <c r="D95" s="11"/>
    </row>
    <row r="96" spans="1:4" x14ac:dyDescent="0.3">
      <c r="A96" s="25"/>
      <c r="B96" s="12" t="s">
        <v>364</v>
      </c>
      <c r="C96" s="11"/>
      <c r="D96" s="11"/>
    </row>
    <row r="97" spans="1:4" x14ac:dyDescent="0.3">
      <c r="A97" s="25"/>
      <c r="B97" s="7" t="s">
        <v>370</v>
      </c>
      <c r="C97" s="11"/>
      <c r="D97" s="11"/>
    </row>
    <row r="98" spans="1:4" ht="82.8" x14ac:dyDescent="0.3">
      <c r="A98" s="25"/>
      <c r="B98" s="7" t="s">
        <v>376</v>
      </c>
      <c r="C98" s="21" t="s">
        <v>1257</v>
      </c>
      <c r="D98" s="11"/>
    </row>
    <row r="99" spans="1:4" ht="110.4" x14ac:dyDescent="0.3">
      <c r="A99" s="25"/>
      <c r="B99" s="7" t="s">
        <v>381</v>
      </c>
      <c r="C99" s="21" t="s">
        <v>1186</v>
      </c>
      <c r="D99" s="11"/>
    </row>
    <row r="100" spans="1:4" ht="69" x14ac:dyDescent="0.3">
      <c r="A100" s="25"/>
      <c r="B100" s="7" t="s">
        <v>387</v>
      </c>
      <c r="C100" s="21" t="s">
        <v>1194</v>
      </c>
      <c r="D100" s="11"/>
    </row>
    <row r="101" spans="1:4" ht="82.8" x14ac:dyDescent="0.3">
      <c r="A101" s="25"/>
      <c r="B101" s="7" t="s">
        <v>391</v>
      </c>
      <c r="C101" s="21" t="s">
        <v>1200</v>
      </c>
      <c r="D101" s="11"/>
    </row>
    <row r="102" spans="1:4" ht="41.4" x14ac:dyDescent="0.3">
      <c r="A102" s="25"/>
      <c r="B102" s="7" t="s">
        <v>394</v>
      </c>
      <c r="C102" s="21" t="s">
        <v>1209</v>
      </c>
      <c r="D102" s="11"/>
    </row>
    <row r="103" spans="1:4" x14ac:dyDescent="0.3">
      <c r="A103" s="25"/>
      <c r="B103" s="7" t="s">
        <v>397</v>
      </c>
      <c r="C103" s="11"/>
      <c r="D103" s="11"/>
    </row>
    <row r="104" spans="1:4" ht="110.4" x14ac:dyDescent="0.3">
      <c r="A104" s="25"/>
      <c r="B104" s="12" t="s">
        <v>401</v>
      </c>
      <c r="C104" s="21" t="s">
        <v>1215</v>
      </c>
      <c r="D104" s="11"/>
    </row>
    <row r="105" spans="1:4" ht="69" x14ac:dyDescent="0.3">
      <c r="A105" s="25"/>
      <c r="B105" s="12" t="s">
        <v>1216</v>
      </c>
      <c r="C105" s="21" t="s">
        <v>1225</v>
      </c>
      <c r="D105" s="11"/>
    </row>
    <row r="106" spans="1:4" x14ac:dyDescent="0.3">
      <c r="A106" s="25"/>
      <c r="B106" s="12" t="s">
        <v>407</v>
      </c>
      <c r="C106" s="11"/>
      <c r="D106" s="11"/>
    </row>
    <row r="107" spans="1:4" x14ac:dyDescent="0.3">
      <c r="A107" s="25"/>
      <c r="B107" s="12" t="s">
        <v>411</v>
      </c>
      <c r="C107" s="11"/>
      <c r="D107" s="11"/>
    </row>
    <row r="108" spans="1:4" x14ac:dyDescent="0.3">
      <c r="A108" s="25"/>
      <c r="B108" s="7" t="s">
        <v>417</v>
      </c>
      <c r="C108" s="11"/>
      <c r="D108" s="11"/>
    </row>
    <row r="109" spans="1:4" x14ac:dyDescent="0.3">
      <c r="A109" s="25"/>
      <c r="B109" s="7" t="s">
        <v>421</v>
      </c>
      <c r="C109" s="11"/>
      <c r="D109" s="11"/>
    </row>
    <row r="110" spans="1:4" x14ac:dyDescent="0.3">
      <c r="A110" s="25"/>
      <c r="B110" s="7" t="s">
        <v>425</v>
      </c>
      <c r="C110" s="11"/>
      <c r="D110" s="11"/>
    </row>
    <row r="111" spans="1:4" x14ac:dyDescent="0.3">
      <c r="A111" s="25"/>
      <c r="B111" s="7" t="s">
        <v>429</v>
      </c>
      <c r="C111" s="11"/>
      <c r="D111" s="11"/>
    </row>
    <row r="112" spans="1:4" ht="82.8" x14ac:dyDescent="0.3">
      <c r="A112" s="25"/>
      <c r="B112" s="12" t="s">
        <v>431</v>
      </c>
      <c r="C112" s="21" t="s">
        <v>1229</v>
      </c>
      <c r="D112" s="11"/>
    </row>
    <row r="113" spans="1:4" x14ac:dyDescent="0.3">
      <c r="A113" s="25"/>
      <c r="B113" s="7" t="s">
        <v>437</v>
      </c>
      <c r="C113" s="11"/>
      <c r="D113" s="11"/>
    </row>
    <row r="114" spans="1:4" ht="82.8" x14ac:dyDescent="0.3">
      <c r="A114" s="25"/>
      <c r="B114" s="7" t="s">
        <v>440</v>
      </c>
      <c r="C114" s="21" t="s">
        <v>1238</v>
      </c>
      <c r="D114" s="11"/>
    </row>
    <row r="115" spans="1:4" x14ac:dyDescent="0.3">
      <c r="A115" s="25"/>
      <c r="B115" s="7" t="s">
        <v>445</v>
      </c>
      <c r="C115" s="11"/>
      <c r="D115" s="11"/>
    </row>
    <row r="116" spans="1:4" x14ac:dyDescent="0.3">
      <c r="A116" s="25"/>
      <c r="B116" s="7" t="s">
        <v>448</v>
      </c>
      <c r="C116" s="11"/>
      <c r="D116" s="11"/>
    </row>
    <row r="117" spans="1:4" x14ac:dyDescent="0.3">
      <c r="A117" s="25"/>
      <c r="B117" s="7" t="s">
        <v>452</v>
      </c>
      <c r="C117" s="11"/>
      <c r="D117" s="11"/>
    </row>
    <row r="118" spans="1:4" ht="41.4" x14ac:dyDescent="0.3">
      <c r="A118" s="25"/>
      <c r="B118" s="7" t="s">
        <v>456</v>
      </c>
      <c r="C118" s="21" t="s">
        <v>1250</v>
      </c>
      <c r="D118" s="11"/>
    </row>
    <row r="119" spans="1:4" x14ac:dyDescent="0.3">
      <c r="A119" s="25"/>
      <c r="B119" s="7" t="s">
        <v>459</v>
      </c>
      <c r="C119" s="11"/>
      <c r="D119" s="11"/>
    </row>
    <row r="120" spans="1:4" x14ac:dyDescent="0.3">
      <c r="A120" s="25"/>
      <c r="B120" s="7" t="s">
        <v>463</v>
      </c>
      <c r="C120" s="11"/>
      <c r="D120" s="11"/>
    </row>
    <row r="121" spans="1:4" x14ac:dyDescent="0.3">
      <c r="A121" s="25"/>
      <c r="B121" s="7" t="s">
        <v>466</v>
      </c>
      <c r="C121" s="11"/>
      <c r="D121" s="11"/>
    </row>
    <row r="122" spans="1:4" x14ac:dyDescent="0.3">
      <c r="A122" s="25"/>
      <c r="B122" s="7" t="s">
        <v>470</v>
      </c>
      <c r="C122" s="11"/>
      <c r="D122" s="11"/>
    </row>
    <row r="123" spans="1:4" x14ac:dyDescent="0.3">
      <c r="A123" s="25"/>
      <c r="B123" s="7" t="s">
        <v>474</v>
      </c>
      <c r="C123" s="11"/>
      <c r="D123" s="11"/>
    </row>
    <row r="124" spans="1:4" x14ac:dyDescent="0.3">
      <c r="A124" s="25"/>
      <c r="B124" s="7" t="s">
        <v>478</v>
      </c>
      <c r="C124" s="11"/>
      <c r="D124" s="11"/>
    </row>
    <row r="125" spans="1:4" ht="82.8" x14ac:dyDescent="0.3">
      <c r="A125" s="25"/>
      <c r="B125" s="12" t="s">
        <v>481</v>
      </c>
      <c r="C125" s="21" t="s">
        <v>1265</v>
      </c>
      <c r="D125" s="11"/>
    </row>
    <row r="126" spans="1:4" x14ac:dyDescent="0.3">
      <c r="A126" s="25"/>
      <c r="B126" s="7" t="s">
        <v>486</v>
      </c>
      <c r="C126" s="11"/>
      <c r="D126" s="11"/>
    </row>
    <row r="127" spans="1:4" x14ac:dyDescent="0.3">
      <c r="A127" s="25"/>
      <c r="B127" s="7" t="s">
        <v>490</v>
      </c>
      <c r="C127" s="11"/>
      <c r="D127" s="11"/>
    </row>
    <row r="128" spans="1:4" ht="41.4" x14ac:dyDescent="0.3">
      <c r="A128" s="25"/>
      <c r="B128" s="12" t="s">
        <v>494</v>
      </c>
      <c r="C128" s="21" t="s">
        <v>1268</v>
      </c>
      <c r="D128" s="11"/>
    </row>
    <row r="129" spans="1:4" x14ac:dyDescent="0.3">
      <c r="A129" s="25"/>
      <c r="B129" s="7" t="s">
        <v>498</v>
      </c>
      <c r="C129" s="11"/>
      <c r="D129" s="11"/>
    </row>
    <row r="130" spans="1:4" x14ac:dyDescent="0.3">
      <c r="A130" s="25"/>
      <c r="B130" s="7" t="s">
        <v>501</v>
      </c>
      <c r="C130" s="11"/>
      <c r="D130" s="11"/>
    </row>
    <row r="131" spans="1:4" ht="82.8" x14ac:dyDescent="0.3">
      <c r="A131" s="25"/>
      <c r="B131" s="12" t="s">
        <v>505</v>
      </c>
      <c r="C131" s="21" t="s">
        <v>1273</v>
      </c>
      <c r="D131" s="11"/>
    </row>
    <row r="132" spans="1:4" ht="55.2" x14ac:dyDescent="0.3">
      <c r="A132" s="25"/>
      <c r="B132" s="12" t="s">
        <v>511</v>
      </c>
      <c r="C132" s="21" t="s">
        <v>1277</v>
      </c>
      <c r="D132" s="11"/>
    </row>
    <row r="133" spans="1:4" x14ac:dyDescent="0.3">
      <c r="A133" s="25"/>
      <c r="B133" s="7" t="s">
        <v>516</v>
      </c>
      <c r="C133" s="11"/>
      <c r="D133" s="11"/>
    </row>
    <row r="134" spans="1:4" ht="96.6" x14ac:dyDescent="0.3">
      <c r="A134" s="25"/>
      <c r="B134" s="7" t="s">
        <v>519</v>
      </c>
      <c r="C134" s="21" t="s">
        <v>1282</v>
      </c>
      <c r="D134" s="11"/>
    </row>
    <row r="135" spans="1:4" x14ac:dyDescent="0.3">
      <c r="A135" s="25"/>
      <c r="B135" s="7" t="s">
        <v>523</v>
      </c>
      <c r="C135" s="11"/>
      <c r="D135" s="11"/>
    </row>
    <row r="136" spans="1:4" ht="96.6" x14ac:dyDescent="0.3">
      <c r="A136" s="25"/>
      <c r="B136" s="7" t="s">
        <v>527</v>
      </c>
      <c r="C136" s="21" t="s">
        <v>1292</v>
      </c>
      <c r="D136" s="11"/>
    </row>
    <row r="137" spans="1:4" x14ac:dyDescent="0.3">
      <c r="A137" s="25"/>
      <c r="B137" s="7" t="s">
        <v>529</v>
      </c>
      <c r="C137" s="11"/>
      <c r="D137" s="11"/>
    </row>
    <row r="138" spans="1:4" ht="55.2" x14ac:dyDescent="0.3">
      <c r="A138" s="25"/>
      <c r="B138" s="12" t="s">
        <v>532</v>
      </c>
      <c r="C138" s="21" t="s">
        <v>1296</v>
      </c>
      <c r="D138" s="11"/>
    </row>
    <row r="139" spans="1:4" ht="96.6" x14ac:dyDescent="0.3">
      <c r="A139" s="25"/>
      <c r="B139" s="7" t="s">
        <v>536</v>
      </c>
      <c r="C139" s="21" t="s">
        <v>1309</v>
      </c>
      <c r="D139" s="11"/>
    </row>
    <row r="140" spans="1:4" ht="69" x14ac:dyDescent="0.3">
      <c r="A140" s="25"/>
      <c r="B140" s="12" t="s">
        <v>538</v>
      </c>
      <c r="C140" s="21" t="s">
        <v>1337</v>
      </c>
      <c r="D140" s="11"/>
    </row>
    <row r="141" spans="1:4" ht="69" x14ac:dyDescent="0.3">
      <c r="A141" s="25"/>
      <c r="B141" s="12" t="s">
        <v>544</v>
      </c>
      <c r="C141" s="21" t="s">
        <v>1315</v>
      </c>
      <c r="D141" s="11"/>
    </row>
    <row r="142" spans="1:4" x14ac:dyDescent="0.3">
      <c r="A142" s="25"/>
      <c r="B142" s="7" t="s">
        <v>548</v>
      </c>
      <c r="C142" s="11"/>
      <c r="D142" s="11"/>
    </row>
    <row r="143" spans="1:4" ht="82.8" x14ac:dyDescent="0.3">
      <c r="A143" s="25"/>
      <c r="B143" s="7" t="s">
        <v>553</v>
      </c>
      <c r="C143" s="21" t="s">
        <v>1325</v>
      </c>
      <c r="D143" s="11"/>
    </row>
    <row r="144" spans="1:4" ht="96.6" x14ac:dyDescent="0.3">
      <c r="A144" s="25"/>
      <c r="B144" s="7" t="s">
        <v>554</v>
      </c>
      <c r="C144" s="21" t="s">
        <v>1332</v>
      </c>
      <c r="D144" s="11"/>
    </row>
    <row r="145" spans="1:4" x14ac:dyDescent="0.3">
      <c r="A145" s="25"/>
      <c r="B145" s="7" t="s">
        <v>556</v>
      </c>
      <c r="C145" s="21"/>
      <c r="D145" s="11"/>
    </row>
    <row r="146" spans="1:4" x14ac:dyDescent="0.3">
      <c r="A146" s="25"/>
      <c r="B146" s="7" t="s">
        <v>558</v>
      </c>
      <c r="C146" s="11"/>
      <c r="D146" s="11"/>
    </row>
    <row r="147" spans="1:4" x14ac:dyDescent="0.3">
      <c r="A147" s="25"/>
      <c r="B147" s="7" t="s">
        <v>563</v>
      </c>
      <c r="C147" s="11"/>
      <c r="D147" s="11"/>
    </row>
    <row r="148" spans="1:4" ht="69" x14ac:dyDescent="0.3">
      <c r="A148" s="25"/>
      <c r="B148" s="7" t="s">
        <v>564</v>
      </c>
      <c r="C148" s="21" t="s">
        <v>1347</v>
      </c>
      <c r="D148" s="11"/>
    </row>
    <row r="149" spans="1:4" x14ac:dyDescent="0.3">
      <c r="A149" s="25"/>
      <c r="B149" s="7" t="s">
        <v>568</v>
      </c>
      <c r="C149" s="11"/>
      <c r="D149" s="11"/>
    </row>
    <row r="150" spans="1:4" x14ac:dyDescent="0.3">
      <c r="A150" s="25"/>
      <c r="B150" s="7" t="s">
        <v>569</v>
      </c>
      <c r="C150" s="11"/>
      <c r="D150" s="11"/>
    </row>
    <row r="151" spans="1:4" ht="82.8" x14ac:dyDescent="0.3">
      <c r="A151" s="25"/>
      <c r="B151" s="7" t="s">
        <v>573</v>
      </c>
      <c r="C151" s="21" t="s">
        <v>1353</v>
      </c>
      <c r="D151" s="11"/>
    </row>
    <row r="152" spans="1:4" ht="55.2" x14ac:dyDescent="0.3">
      <c r="A152" s="25"/>
      <c r="B152" s="7" t="s">
        <v>577</v>
      </c>
      <c r="C152" s="21" t="s">
        <v>1362</v>
      </c>
      <c r="D152" s="11"/>
    </row>
    <row r="153" spans="1:4" x14ac:dyDescent="0.3">
      <c r="A153" s="25"/>
      <c r="B153" s="7" t="s">
        <v>581</v>
      </c>
      <c r="C153" s="11"/>
      <c r="D153" s="11"/>
    </row>
    <row r="154" spans="1:4" x14ac:dyDescent="0.3">
      <c r="A154" s="25"/>
      <c r="B154" s="7" t="s">
        <v>584</v>
      </c>
      <c r="C154" s="11"/>
      <c r="D154" s="11"/>
    </row>
    <row r="155" spans="1:4" ht="69" x14ac:dyDescent="0.3">
      <c r="A155" s="25"/>
      <c r="B155" s="7" t="s">
        <v>586</v>
      </c>
      <c r="C155" s="21" t="s">
        <v>1373</v>
      </c>
      <c r="D155" s="11"/>
    </row>
    <row r="156" spans="1:4" ht="55.2" x14ac:dyDescent="0.3">
      <c r="A156" s="25"/>
      <c r="B156" s="7" t="s">
        <v>590</v>
      </c>
      <c r="C156" s="21" t="s">
        <v>1379</v>
      </c>
      <c r="D156" s="11"/>
    </row>
    <row r="157" spans="1:4" x14ac:dyDescent="0.3">
      <c r="A157" s="25"/>
      <c r="B157" s="7" t="s">
        <v>591</v>
      </c>
      <c r="C157" s="11"/>
      <c r="D157" s="11"/>
    </row>
    <row r="158" spans="1:4" ht="41.4" x14ac:dyDescent="0.3">
      <c r="A158" s="25"/>
      <c r="B158" s="7" t="s">
        <v>595</v>
      </c>
      <c r="C158" s="21" t="s">
        <v>1387</v>
      </c>
      <c r="D158" s="11"/>
    </row>
    <row r="159" spans="1:4" ht="55.2" x14ac:dyDescent="0.3">
      <c r="A159" s="25"/>
      <c r="B159" s="7" t="s">
        <v>597</v>
      </c>
      <c r="C159" s="21" t="s">
        <v>1397</v>
      </c>
      <c r="D159" s="11"/>
    </row>
    <row r="160" spans="1:4" x14ac:dyDescent="0.3">
      <c r="A160" s="25"/>
      <c r="B160" s="12" t="s">
        <v>599</v>
      </c>
      <c r="C160" s="11"/>
      <c r="D160" s="11"/>
    </row>
    <row r="161" spans="1:4" x14ac:dyDescent="0.3">
      <c r="A161" s="25"/>
      <c r="B161" s="7" t="s">
        <v>603</v>
      </c>
      <c r="C161" s="11"/>
      <c r="D161" s="11"/>
    </row>
    <row r="162" spans="1:4" ht="69" x14ac:dyDescent="0.3">
      <c r="A162" s="25"/>
      <c r="B162" s="12" t="s">
        <v>606</v>
      </c>
      <c r="C162" s="21" t="s">
        <v>1400</v>
      </c>
      <c r="D162" s="11"/>
    </row>
    <row r="163" spans="1:4" x14ac:dyDescent="0.3">
      <c r="A163" s="25"/>
      <c r="B163" s="7" t="s">
        <v>612</v>
      </c>
      <c r="C163" s="11"/>
      <c r="D163" s="11"/>
    </row>
    <row r="164" spans="1:4" ht="69" x14ac:dyDescent="0.3">
      <c r="A164" s="25"/>
      <c r="B164" s="7" t="s">
        <v>616</v>
      </c>
      <c r="C164" s="21" t="s">
        <v>1410</v>
      </c>
      <c r="D164" s="11"/>
    </row>
    <row r="165" spans="1:4" ht="82.8" x14ac:dyDescent="0.3">
      <c r="A165" s="25"/>
      <c r="B165" s="7" t="s">
        <v>618</v>
      </c>
      <c r="C165" s="21" t="s">
        <v>1417</v>
      </c>
      <c r="D165" s="11"/>
    </row>
    <row r="166" spans="1:4" x14ac:dyDescent="0.3">
      <c r="A166" s="25"/>
      <c r="B166" s="7" t="s">
        <v>619</v>
      </c>
      <c r="C166" s="11"/>
      <c r="D166" s="11"/>
    </row>
    <row r="167" spans="1:4" x14ac:dyDescent="0.3">
      <c r="A167" s="25"/>
      <c r="B167" s="7" t="s">
        <v>622</v>
      </c>
      <c r="C167" s="11"/>
      <c r="D167" s="11"/>
    </row>
    <row r="168" spans="1:4" x14ac:dyDescent="0.3">
      <c r="A168" s="25"/>
      <c r="B168" s="7" t="s">
        <v>626</v>
      </c>
      <c r="C168" s="11"/>
      <c r="D168" s="11"/>
    </row>
    <row r="169" spans="1:4" x14ac:dyDescent="0.3">
      <c r="A169" s="25"/>
      <c r="B169" s="7" t="s">
        <v>628</v>
      </c>
      <c r="C169" s="11"/>
      <c r="D169" s="11"/>
    </row>
    <row r="170" spans="1:4" ht="41.4" x14ac:dyDescent="0.3">
      <c r="A170" s="25"/>
      <c r="B170" s="12" t="s">
        <v>632</v>
      </c>
      <c r="C170" s="21" t="s">
        <v>1423</v>
      </c>
      <c r="D170" s="11"/>
    </row>
    <row r="171" spans="1:4" ht="96.6" x14ac:dyDescent="0.3">
      <c r="A171" s="25"/>
      <c r="B171" s="12" t="s">
        <v>639</v>
      </c>
      <c r="C171" s="21" t="s">
        <v>1428</v>
      </c>
      <c r="D171" s="11"/>
    </row>
    <row r="172" spans="1:4" x14ac:dyDescent="0.3">
      <c r="A172" s="25"/>
      <c r="B172" s="7" t="s">
        <v>643</v>
      </c>
      <c r="C172" s="11"/>
      <c r="D172" s="11"/>
    </row>
    <row r="173" spans="1:4" ht="96.6" x14ac:dyDescent="0.3">
      <c r="A173" s="25"/>
      <c r="B173" s="12" t="s">
        <v>646</v>
      </c>
      <c r="C173" s="21" t="s">
        <v>1433</v>
      </c>
      <c r="D173" s="11"/>
    </row>
    <row r="174" spans="1:4" ht="82.8" x14ac:dyDescent="0.3">
      <c r="A174" s="25"/>
      <c r="B174" s="7" t="s">
        <v>652</v>
      </c>
      <c r="C174" s="21" t="s">
        <v>1439</v>
      </c>
      <c r="D174" s="11"/>
    </row>
    <row r="175" spans="1:4" ht="82.8" x14ac:dyDescent="0.3">
      <c r="A175" s="25"/>
      <c r="B175" s="7" t="s">
        <v>655</v>
      </c>
      <c r="C175" s="21" t="s">
        <v>1444</v>
      </c>
      <c r="D175" s="11"/>
    </row>
    <row r="176" spans="1:4" x14ac:dyDescent="0.3">
      <c r="A176" s="25"/>
      <c r="B176" s="7" t="s">
        <v>658</v>
      </c>
      <c r="C176" s="11"/>
      <c r="D176" s="11"/>
    </row>
    <row r="177" spans="1:4" x14ac:dyDescent="0.3">
      <c r="A177" s="25"/>
      <c r="B177" s="7" t="s">
        <v>662</v>
      </c>
      <c r="C177" s="11"/>
      <c r="D177" s="11"/>
    </row>
    <row r="178" spans="1:4" x14ac:dyDescent="0.3">
      <c r="A178" s="25"/>
      <c r="B178" s="7" t="s">
        <v>664</v>
      </c>
      <c r="C178" s="11"/>
      <c r="D178" s="11"/>
    </row>
    <row r="179" spans="1:4" x14ac:dyDescent="0.3">
      <c r="A179" s="25"/>
      <c r="B179" s="7" t="s">
        <v>667</v>
      </c>
      <c r="C179" s="11"/>
      <c r="D179"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C56"/>
  <sheetViews>
    <sheetView showGridLines="0" topLeftCell="A34" zoomScale="70" zoomScaleNormal="70" workbookViewId="0">
      <selection activeCell="F69" sqref="F69"/>
    </sheetView>
  </sheetViews>
  <sheetFormatPr defaultRowHeight="14.4" x14ac:dyDescent="0.3"/>
  <cols>
    <col min="4" max="4" width="11.109375" customWidth="1"/>
    <col min="15" max="15" width="10.109375" customWidth="1"/>
  </cols>
  <sheetData>
    <row r="2" spans="1:185" ht="15" customHeight="1" x14ac:dyDescent="0.3">
      <c r="A2" s="88"/>
      <c r="B2" s="88"/>
      <c r="C2" s="88"/>
      <c r="D2" s="88"/>
      <c r="E2" s="88"/>
      <c r="F2" s="88"/>
      <c r="G2" s="88"/>
      <c r="H2" s="88"/>
      <c r="I2" s="88"/>
      <c r="J2" s="88"/>
      <c r="K2" s="88"/>
      <c r="L2" s="88"/>
      <c r="M2" s="88"/>
      <c r="N2" s="88"/>
      <c r="O2" s="88"/>
      <c r="P2" s="88"/>
      <c r="Q2" s="88"/>
      <c r="R2" s="88"/>
      <c r="S2" s="88"/>
      <c r="T2" s="88"/>
      <c r="U2" s="88"/>
      <c r="V2" s="88"/>
      <c r="W2" s="88"/>
    </row>
    <row r="3" spans="1:185" ht="15" customHeight="1" x14ac:dyDescent="0.3">
      <c r="A3" s="88"/>
      <c r="B3" s="88"/>
      <c r="C3" s="88"/>
      <c r="D3" s="88"/>
      <c r="E3" s="88"/>
      <c r="F3" s="88"/>
      <c r="G3" s="88"/>
      <c r="H3" s="88"/>
      <c r="I3" s="88"/>
      <c r="J3" s="88"/>
      <c r="K3" s="88"/>
      <c r="L3" s="88"/>
      <c r="M3" s="88"/>
      <c r="N3" s="88"/>
      <c r="O3" s="88"/>
      <c r="P3" s="88"/>
      <c r="Q3" s="88"/>
      <c r="R3" s="88"/>
      <c r="S3" s="88"/>
      <c r="T3" s="88"/>
      <c r="U3" s="88"/>
      <c r="V3" s="88"/>
      <c r="W3" s="88"/>
    </row>
    <row r="4" spans="1:185" ht="15" customHeight="1" x14ac:dyDescent="0.3">
      <c r="A4" s="88"/>
      <c r="B4" s="88"/>
      <c r="C4" s="88"/>
      <c r="D4" s="88"/>
      <c r="E4" s="88"/>
      <c r="F4" s="88"/>
      <c r="G4" s="88"/>
      <c r="H4" s="88"/>
      <c r="I4" s="88"/>
      <c r="J4" s="88"/>
      <c r="K4" s="88"/>
      <c r="L4" s="88"/>
      <c r="M4" s="88"/>
      <c r="N4" s="88"/>
      <c r="O4" s="88"/>
      <c r="P4" s="88"/>
      <c r="Q4" s="88"/>
      <c r="R4" s="88"/>
      <c r="S4" s="88"/>
      <c r="T4" s="88"/>
      <c r="U4" s="88"/>
      <c r="V4" s="88"/>
      <c r="W4" s="88"/>
    </row>
    <row r="5" spans="1:185" ht="15" customHeight="1" x14ac:dyDescent="0.3">
      <c r="A5" s="88"/>
      <c r="B5" s="88"/>
      <c r="C5" s="88"/>
      <c r="D5" s="88"/>
      <c r="E5" s="88"/>
      <c r="F5" s="88"/>
      <c r="G5" s="88"/>
      <c r="H5" s="88"/>
      <c r="I5" s="88"/>
      <c r="J5" s="88"/>
      <c r="K5" s="88"/>
      <c r="L5" s="88"/>
      <c r="M5" s="88"/>
      <c r="N5" s="88"/>
      <c r="O5" s="88"/>
      <c r="P5" s="88"/>
      <c r="Q5" s="88"/>
      <c r="R5" s="88"/>
      <c r="S5" s="88"/>
      <c r="T5" s="88"/>
      <c r="U5" s="88"/>
      <c r="V5" s="88"/>
      <c r="W5" s="88"/>
    </row>
    <row r="6" spans="1:185" s="37" customFormat="1" x14ac:dyDescent="0.3">
      <c r="A6" s="39"/>
      <c r="B6" s="39"/>
      <c r="C6" s="39"/>
      <c r="D6" s="39"/>
      <c r="E6" s="39"/>
      <c r="F6" s="39"/>
      <c r="G6" s="39"/>
      <c r="H6" s="39"/>
      <c r="I6" s="39"/>
      <c r="J6" s="39"/>
      <c r="K6" s="39"/>
      <c r="L6" s="39"/>
      <c r="M6" s="39"/>
      <c r="N6" s="39"/>
      <c r="O6" s="39"/>
      <c r="P6" s="39"/>
      <c r="Q6" s="39"/>
      <c r="R6" s="39"/>
      <c r="S6" s="39"/>
      <c r="T6" s="39"/>
      <c r="U6" s="39"/>
      <c r="V6" s="39"/>
      <c r="W6" s="39"/>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row>
    <row r="7" spans="1:185" s="37" customFormat="1" ht="15" customHeight="1" x14ac:dyDescent="0.3">
      <c r="A7" s="39"/>
      <c r="B7" s="72" t="s">
        <v>891</v>
      </c>
      <c r="C7" s="72"/>
      <c r="D7" s="72"/>
      <c r="E7" s="39"/>
      <c r="F7" s="69">
        <v>74</v>
      </c>
      <c r="G7" s="69"/>
      <c r="H7" s="69"/>
      <c r="I7" s="69"/>
      <c r="J7" s="69"/>
      <c r="K7" s="69"/>
      <c r="L7" s="39"/>
      <c r="M7" s="72" t="s">
        <v>891</v>
      </c>
      <c r="N7" s="72"/>
      <c r="O7" s="72"/>
      <c r="P7" s="39"/>
      <c r="Q7" s="70" t="e">
        <f>VLOOKUP(F7,'Company Details'!C2:R1048576,5,)</f>
        <v>#N/A</v>
      </c>
      <c r="R7" s="70"/>
      <c r="S7" s="70"/>
      <c r="T7" s="70"/>
      <c r="U7" s="70"/>
      <c r="V7" s="70"/>
      <c r="W7" s="39"/>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row>
    <row r="8" spans="1:185" s="37" customFormat="1" ht="15" customHeight="1" x14ac:dyDescent="0.3">
      <c r="A8" s="39"/>
      <c r="B8" s="72"/>
      <c r="C8" s="72"/>
      <c r="D8" s="72"/>
      <c r="E8" s="39"/>
      <c r="F8" s="69"/>
      <c r="G8" s="69"/>
      <c r="H8" s="69"/>
      <c r="I8" s="69"/>
      <c r="J8" s="69"/>
      <c r="K8" s="69"/>
      <c r="L8" s="39"/>
      <c r="M8" s="72"/>
      <c r="N8" s="72"/>
      <c r="O8" s="72"/>
      <c r="P8" s="39"/>
      <c r="Q8" s="70"/>
      <c r="R8" s="70"/>
      <c r="S8" s="70"/>
      <c r="T8" s="70"/>
      <c r="U8" s="70"/>
      <c r="V8" s="70"/>
      <c r="W8" s="39"/>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row>
    <row r="9" spans="1:185" x14ac:dyDescent="0.3">
      <c r="A9" s="37"/>
      <c r="B9" s="37"/>
      <c r="C9" s="37"/>
      <c r="D9" s="37"/>
      <c r="E9" s="37"/>
      <c r="F9" s="37"/>
      <c r="G9" s="37"/>
      <c r="H9" s="37"/>
      <c r="I9" s="37"/>
      <c r="J9" s="37"/>
      <c r="K9" s="37"/>
      <c r="L9" s="37"/>
      <c r="M9" s="37"/>
      <c r="N9" s="37"/>
      <c r="O9" s="37"/>
      <c r="P9" s="37"/>
      <c r="Q9" s="37"/>
      <c r="R9" s="37"/>
      <c r="S9" s="37"/>
      <c r="T9" s="37"/>
      <c r="U9" s="37"/>
      <c r="V9" s="37"/>
      <c r="W9" s="37"/>
    </row>
    <row r="10" spans="1:185" ht="15" customHeight="1" x14ac:dyDescent="0.3">
      <c r="A10" s="41"/>
      <c r="B10" s="71" t="s">
        <v>890</v>
      </c>
      <c r="C10" s="71"/>
      <c r="D10" s="71"/>
      <c r="E10" s="71"/>
      <c r="F10" s="71"/>
      <c r="G10" s="71"/>
      <c r="H10" s="71"/>
      <c r="I10" s="71"/>
      <c r="J10" s="71"/>
      <c r="K10" s="71"/>
      <c r="L10" s="71"/>
      <c r="M10" s="71"/>
      <c r="N10" s="71"/>
      <c r="O10" s="71"/>
      <c r="P10" s="71"/>
      <c r="Q10" s="71"/>
      <c r="R10" s="71"/>
      <c r="S10" s="71"/>
      <c r="T10" s="71"/>
      <c r="U10" s="71"/>
      <c r="V10" s="71"/>
      <c r="W10" s="40"/>
    </row>
    <row r="11" spans="1:185" ht="15" customHeight="1" x14ac:dyDescent="0.3">
      <c r="A11" s="41"/>
      <c r="B11" s="71"/>
      <c r="C11" s="71"/>
      <c r="D11" s="71"/>
      <c r="E11" s="71"/>
      <c r="F11" s="71"/>
      <c r="G11" s="71"/>
      <c r="H11" s="71"/>
      <c r="I11" s="71"/>
      <c r="J11" s="71"/>
      <c r="K11" s="71"/>
      <c r="L11" s="71"/>
      <c r="M11" s="71"/>
      <c r="N11" s="71"/>
      <c r="O11" s="71"/>
      <c r="P11" s="71"/>
      <c r="Q11" s="71"/>
      <c r="R11" s="71"/>
      <c r="S11" s="71"/>
      <c r="T11" s="71"/>
      <c r="U11" s="71"/>
      <c r="V11" s="71"/>
      <c r="W11" s="40"/>
    </row>
    <row r="12" spans="1:185" ht="15" customHeight="1" x14ac:dyDescent="0.3">
      <c r="A12" s="37"/>
      <c r="B12" s="37"/>
      <c r="C12" s="37"/>
      <c r="D12" s="37"/>
      <c r="E12" s="37"/>
      <c r="F12" s="37"/>
      <c r="G12" s="37"/>
      <c r="H12" s="37"/>
      <c r="I12" s="37"/>
      <c r="J12" s="37"/>
      <c r="K12" s="37"/>
      <c r="L12" s="37"/>
      <c r="M12" s="37"/>
      <c r="N12" s="37"/>
      <c r="O12" s="37"/>
      <c r="P12" s="37"/>
      <c r="Q12" s="37"/>
      <c r="R12" s="37"/>
      <c r="S12" s="37"/>
      <c r="T12" s="37"/>
      <c r="U12" s="37"/>
      <c r="V12" s="37"/>
      <c r="W12" s="37"/>
    </row>
    <row r="13" spans="1:185" ht="18" customHeight="1" x14ac:dyDescent="0.3">
      <c r="A13" s="37"/>
      <c r="B13" s="72" t="s">
        <v>874</v>
      </c>
      <c r="C13" s="72"/>
      <c r="D13" s="72"/>
      <c r="E13" s="37"/>
      <c r="F13" s="70" t="s">
        <v>1445</v>
      </c>
      <c r="G13" s="70"/>
      <c r="H13" s="70"/>
      <c r="I13" s="70"/>
      <c r="J13" s="70"/>
      <c r="K13" s="70"/>
      <c r="L13" s="37"/>
      <c r="M13" s="72" t="s">
        <v>883</v>
      </c>
      <c r="N13" s="72"/>
      <c r="O13" s="72"/>
      <c r="P13" s="37"/>
      <c r="Q13" s="70" t="e">
        <f>VLOOKUP(F7,Company_Details,9,)</f>
        <v>#N/A</v>
      </c>
      <c r="R13" s="70"/>
      <c r="S13" s="70"/>
      <c r="T13" s="70"/>
      <c r="U13" s="70"/>
      <c r="V13" s="70"/>
      <c r="W13" s="37"/>
    </row>
    <row r="14" spans="1:185" ht="18" customHeight="1" x14ac:dyDescent="0.3">
      <c r="A14" s="37"/>
      <c r="B14" s="72"/>
      <c r="C14" s="72"/>
      <c r="D14" s="72"/>
      <c r="E14" s="37"/>
      <c r="F14" s="70"/>
      <c r="G14" s="70"/>
      <c r="H14" s="70"/>
      <c r="I14" s="70"/>
      <c r="J14" s="70"/>
      <c r="K14" s="70"/>
      <c r="L14" s="37"/>
      <c r="M14" s="72"/>
      <c r="N14" s="72"/>
      <c r="O14" s="72"/>
      <c r="P14" s="37"/>
      <c r="Q14" s="70"/>
      <c r="R14" s="70"/>
      <c r="S14" s="70"/>
      <c r="T14" s="70"/>
      <c r="U14" s="70"/>
      <c r="V14" s="70"/>
      <c r="W14" s="37"/>
    </row>
    <row r="15" spans="1:185" ht="18" customHeight="1" x14ac:dyDescent="0.3">
      <c r="A15" s="37"/>
      <c r="B15" s="38"/>
      <c r="C15" s="38"/>
      <c r="D15" s="38"/>
      <c r="E15" s="37"/>
      <c r="F15" s="37"/>
      <c r="G15" s="37"/>
      <c r="H15" s="37"/>
      <c r="I15" s="37"/>
      <c r="J15" s="37"/>
      <c r="K15" s="37"/>
      <c r="L15" s="37"/>
      <c r="M15" s="38"/>
      <c r="N15" s="38"/>
      <c r="O15" s="38"/>
      <c r="P15" s="37"/>
      <c r="Q15" s="37"/>
      <c r="R15" s="37"/>
      <c r="S15" s="37"/>
      <c r="T15" s="37"/>
      <c r="U15" s="37"/>
      <c r="V15" s="37"/>
      <c r="W15" s="37"/>
    </row>
    <row r="16" spans="1:185" ht="18" customHeight="1" x14ac:dyDescent="0.3">
      <c r="A16" s="37"/>
      <c r="B16" s="72" t="s">
        <v>177</v>
      </c>
      <c r="C16" s="72"/>
      <c r="D16" s="72"/>
      <c r="E16" s="37"/>
      <c r="F16" s="89" t="e">
        <f>VLOOKUP(F7,Company_Details,3,0)</f>
        <v>#N/A</v>
      </c>
      <c r="G16" s="89"/>
      <c r="H16" s="89"/>
      <c r="I16" s="89"/>
      <c r="J16" s="89"/>
      <c r="K16" s="89"/>
      <c r="L16" s="37"/>
      <c r="M16" s="72" t="s">
        <v>877</v>
      </c>
      <c r="N16" s="72"/>
      <c r="O16" s="72"/>
      <c r="P16" s="37"/>
      <c r="Q16" s="70" t="e">
        <f>VLOOKUP(F7,Company_Details,10,0)</f>
        <v>#N/A</v>
      </c>
      <c r="R16" s="70"/>
      <c r="S16" s="70"/>
      <c r="T16" s="70"/>
      <c r="U16" s="70"/>
      <c r="V16" s="70"/>
      <c r="W16" s="37"/>
    </row>
    <row r="17" spans="1:23" ht="18" customHeight="1" x14ac:dyDescent="0.3">
      <c r="A17" s="37"/>
      <c r="B17" s="72"/>
      <c r="C17" s="72"/>
      <c r="D17" s="72"/>
      <c r="E17" s="37"/>
      <c r="F17" s="89"/>
      <c r="G17" s="89"/>
      <c r="H17" s="89"/>
      <c r="I17" s="89"/>
      <c r="J17" s="89"/>
      <c r="K17" s="89"/>
      <c r="L17" s="37"/>
      <c r="M17" s="72"/>
      <c r="N17" s="72"/>
      <c r="O17" s="72"/>
      <c r="P17" s="37"/>
      <c r="Q17" s="70"/>
      <c r="R17" s="70"/>
      <c r="S17" s="70"/>
      <c r="T17" s="70"/>
      <c r="U17" s="70"/>
      <c r="V17" s="70"/>
      <c r="W17" s="37"/>
    </row>
    <row r="18" spans="1:23" ht="18" customHeight="1" x14ac:dyDescent="0.3">
      <c r="A18" s="37"/>
      <c r="B18" s="38"/>
      <c r="C18" s="38"/>
      <c r="D18" s="38"/>
      <c r="E18" s="37"/>
      <c r="F18" s="37"/>
      <c r="G18" s="37"/>
      <c r="H18" s="37"/>
      <c r="I18" s="37"/>
      <c r="J18" s="37"/>
      <c r="K18" s="37"/>
      <c r="L18" s="37"/>
      <c r="M18" s="38"/>
      <c r="N18" s="38"/>
      <c r="O18" s="38"/>
      <c r="P18" s="37"/>
      <c r="Q18" s="37"/>
      <c r="R18" s="37"/>
      <c r="S18" s="37"/>
      <c r="T18" s="37"/>
      <c r="U18" s="37"/>
      <c r="V18" s="37"/>
      <c r="W18" s="37"/>
    </row>
    <row r="19" spans="1:23" ht="18" customHeight="1" x14ac:dyDescent="0.3">
      <c r="A19" s="37"/>
      <c r="B19" s="72" t="s">
        <v>677</v>
      </c>
      <c r="C19" s="72"/>
      <c r="D19" s="72"/>
      <c r="E19" s="37"/>
      <c r="F19" s="90" t="e">
        <f>VLOOKUP(F7,Company_Details,4,)</f>
        <v>#N/A</v>
      </c>
      <c r="G19" s="90"/>
      <c r="H19" s="90"/>
      <c r="I19" s="90"/>
      <c r="J19" s="90"/>
      <c r="K19" s="90"/>
      <c r="L19" s="39"/>
      <c r="M19" s="72" t="s">
        <v>878</v>
      </c>
      <c r="N19" s="72"/>
      <c r="O19" s="72"/>
      <c r="P19" s="37"/>
      <c r="Q19" s="89" t="e">
        <f>VLOOKUP(F7,Company_Details,11,)</f>
        <v>#N/A</v>
      </c>
      <c r="R19" s="89"/>
      <c r="S19" s="89"/>
      <c r="T19" s="89"/>
      <c r="U19" s="89"/>
      <c r="V19" s="89"/>
      <c r="W19" s="37"/>
    </row>
    <row r="20" spans="1:23" ht="18" customHeight="1" x14ac:dyDescent="0.3">
      <c r="A20" s="37"/>
      <c r="B20" s="72"/>
      <c r="C20" s="72"/>
      <c r="D20" s="72"/>
      <c r="E20" s="37"/>
      <c r="F20" s="90"/>
      <c r="G20" s="90"/>
      <c r="H20" s="90"/>
      <c r="I20" s="90"/>
      <c r="J20" s="90"/>
      <c r="K20" s="90"/>
      <c r="L20" s="39"/>
      <c r="M20" s="72"/>
      <c r="N20" s="72"/>
      <c r="O20" s="72"/>
      <c r="P20" s="37"/>
      <c r="Q20" s="89"/>
      <c r="R20" s="89"/>
      <c r="S20" s="89"/>
      <c r="T20" s="89"/>
      <c r="U20" s="89"/>
      <c r="V20" s="89"/>
      <c r="W20" s="37"/>
    </row>
    <row r="21" spans="1:23" ht="18" customHeight="1" x14ac:dyDescent="0.3">
      <c r="A21" s="37"/>
      <c r="B21" s="38"/>
      <c r="C21" s="38"/>
      <c r="D21" s="38"/>
      <c r="E21" s="37"/>
      <c r="F21" s="37"/>
      <c r="G21" s="37"/>
      <c r="H21" s="37"/>
      <c r="I21" s="37"/>
      <c r="J21" s="37"/>
      <c r="K21" s="37"/>
      <c r="L21" s="37"/>
      <c r="M21" s="38"/>
      <c r="N21" s="38"/>
      <c r="O21" s="38"/>
      <c r="P21" s="37"/>
      <c r="Q21" s="37"/>
      <c r="R21" s="37"/>
      <c r="S21" s="37"/>
      <c r="T21" s="37"/>
      <c r="U21" s="37"/>
      <c r="V21" s="37"/>
      <c r="W21" s="37"/>
    </row>
    <row r="22" spans="1:23" ht="18" customHeight="1" x14ac:dyDescent="0.3">
      <c r="A22" s="37"/>
      <c r="B22" s="72" t="s">
        <v>875</v>
      </c>
      <c r="C22" s="72"/>
      <c r="D22" s="72"/>
      <c r="E22" s="37"/>
      <c r="F22" s="87" t="e">
        <f>VLOOKUP(F7,Company_Details,8,0)</f>
        <v>#N/A</v>
      </c>
      <c r="G22" s="87"/>
      <c r="H22" s="87"/>
      <c r="I22" s="87"/>
      <c r="J22" s="87"/>
      <c r="K22" s="87"/>
      <c r="L22" s="37"/>
      <c r="M22" s="72" t="s">
        <v>678</v>
      </c>
      <c r="N22" s="72"/>
      <c r="O22" s="72"/>
      <c r="P22" s="37"/>
      <c r="Q22" s="70" t="e">
        <f>VLOOKUP(F7,Company_Details,12,)</f>
        <v>#N/A</v>
      </c>
      <c r="R22" s="70"/>
      <c r="S22" s="70"/>
      <c r="T22" s="70"/>
      <c r="U22" s="70"/>
      <c r="V22" s="70"/>
      <c r="W22" s="37"/>
    </row>
    <row r="23" spans="1:23" ht="18" customHeight="1" x14ac:dyDescent="0.3">
      <c r="A23" s="37"/>
      <c r="B23" s="72"/>
      <c r="C23" s="72"/>
      <c r="D23" s="72"/>
      <c r="E23" s="37"/>
      <c r="F23" s="87"/>
      <c r="G23" s="87"/>
      <c r="H23" s="87"/>
      <c r="I23" s="87"/>
      <c r="J23" s="87"/>
      <c r="K23" s="87"/>
      <c r="L23" s="37"/>
      <c r="M23" s="72"/>
      <c r="N23" s="72"/>
      <c r="O23" s="72"/>
      <c r="P23" s="37"/>
      <c r="Q23" s="70"/>
      <c r="R23" s="70"/>
      <c r="S23" s="70"/>
      <c r="T23" s="70"/>
      <c r="U23" s="70"/>
      <c r="V23" s="70"/>
      <c r="W23" s="37"/>
    </row>
    <row r="24" spans="1:23" ht="18" customHeight="1" x14ac:dyDescent="0.3">
      <c r="A24" s="37"/>
      <c r="B24" s="38"/>
      <c r="C24" s="38"/>
      <c r="D24" s="38"/>
      <c r="E24" s="37"/>
      <c r="F24" s="37"/>
      <c r="G24" s="37"/>
      <c r="H24" s="37"/>
      <c r="I24" s="37"/>
      <c r="J24" s="37"/>
      <c r="K24" s="37"/>
      <c r="L24" s="37"/>
      <c r="M24" s="38"/>
      <c r="N24" s="38"/>
      <c r="O24" s="38"/>
      <c r="P24" s="37"/>
      <c r="Q24" s="37"/>
      <c r="R24" s="37"/>
      <c r="S24" s="37"/>
      <c r="T24" s="37"/>
      <c r="U24" s="37"/>
      <c r="V24" s="37"/>
      <c r="W24" s="37"/>
    </row>
    <row r="25" spans="1:23" ht="18" customHeight="1" x14ac:dyDescent="0.3">
      <c r="A25" s="37"/>
      <c r="B25" s="72" t="s">
        <v>876</v>
      </c>
      <c r="C25" s="72"/>
      <c r="D25" s="72"/>
      <c r="E25" s="37"/>
      <c r="F25" s="80" t="e">
        <f>VLOOKUP(F7,Company_Details,6,0)</f>
        <v>#N/A</v>
      </c>
      <c r="G25" s="81"/>
      <c r="H25" s="81"/>
      <c r="I25" s="81"/>
      <c r="J25" s="81"/>
      <c r="K25" s="82"/>
      <c r="L25" s="37"/>
      <c r="M25" s="72" t="s">
        <v>879</v>
      </c>
      <c r="N25" s="72"/>
      <c r="O25" s="72"/>
      <c r="P25" s="37"/>
      <c r="Q25" s="70" t="e">
        <f>VLOOKUP(F7,Company_Details,13,)</f>
        <v>#N/A</v>
      </c>
      <c r="R25" s="70"/>
      <c r="S25" s="70"/>
      <c r="T25" s="70"/>
      <c r="U25" s="70"/>
      <c r="V25" s="70"/>
      <c r="W25" s="37"/>
    </row>
    <row r="26" spans="1:23" ht="18" customHeight="1" x14ac:dyDescent="0.3">
      <c r="A26" s="37"/>
      <c r="B26" s="72"/>
      <c r="C26" s="72"/>
      <c r="D26" s="72"/>
      <c r="E26" s="37"/>
      <c r="F26" s="83"/>
      <c r="G26" s="84"/>
      <c r="H26" s="84"/>
      <c r="I26" s="84"/>
      <c r="J26" s="84"/>
      <c r="K26" s="85"/>
      <c r="L26" s="37"/>
      <c r="M26" s="72"/>
      <c r="N26" s="72"/>
      <c r="O26" s="72"/>
      <c r="P26" s="37"/>
      <c r="Q26" s="70"/>
      <c r="R26" s="70"/>
      <c r="S26" s="70"/>
      <c r="T26" s="70"/>
      <c r="U26" s="70"/>
      <c r="V26" s="70"/>
      <c r="W26" s="37"/>
    </row>
    <row r="27" spans="1:23" ht="18" customHeight="1" x14ac:dyDescent="0.3">
      <c r="A27" s="37"/>
      <c r="B27" s="38"/>
      <c r="C27" s="38"/>
      <c r="D27" s="38"/>
      <c r="E27" s="37"/>
      <c r="F27" s="37"/>
      <c r="G27" s="37"/>
      <c r="H27" s="37"/>
      <c r="I27" s="37"/>
      <c r="J27" s="37"/>
      <c r="K27" s="37"/>
      <c r="L27" s="37"/>
      <c r="M27" s="38"/>
      <c r="N27" s="38"/>
      <c r="O27" s="38"/>
      <c r="P27" s="37"/>
      <c r="Q27" s="37"/>
      <c r="R27" s="37"/>
      <c r="S27" s="37"/>
      <c r="T27" s="37"/>
      <c r="U27" s="37"/>
      <c r="V27" s="37"/>
      <c r="W27" s="37"/>
    </row>
    <row r="28" spans="1:23" ht="18" customHeight="1" x14ac:dyDescent="0.3">
      <c r="A28" s="37"/>
      <c r="B28" s="72" t="s">
        <v>746</v>
      </c>
      <c r="C28" s="72"/>
      <c r="D28" s="72"/>
      <c r="E28" s="37"/>
      <c r="F28" s="87" t="e">
        <f>VLOOKUP(F7,Company_Details,7,0)</f>
        <v>#N/A</v>
      </c>
      <c r="G28" s="87"/>
      <c r="H28" s="87"/>
      <c r="I28" s="87"/>
      <c r="J28" s="87"/>
      <c r="K28" s="87"/>
      <c r="L28" s="37"/>
      <c r="M28" s="72" t="s">
        <v>680</v>
      </c>
      <c r="N28" s="72"/>
      <c r="O28" s="72"/>
      <c r="P28" s="37"/>
      <c r="Q28" s="70" t="e">
        <f>VLOOKUP(F7,Company_Details,14,)</f>
        <v>#N/A</v>
      </c>
      <c r="R28" s="70"/>
      <c r="S28" s="70"/>
      <c r="T28" s="70"/>
      <c r="U28" s="70"/>
      <c r="V28" s="70"/>
      <c r="W28" s="37"/>
    </row>
    <row r="29" spans="1:23" ht="18" customHeight="1" x14ac:dyDescent="0.3">
      <c r="A29" s="37"/>
      <c r="B29" s="72"/>
      <c r="C29" s="72"/>
      <c r="D29" s="72"/>
      <c r="E29" s="37"/>
      <c r="F29" s="87"/>
      <c r="G29" s="87"/>
      <c r="H29" s="87"/>
      <c r="I29" s="87"/>
      <c r="J29" s="87"/>
      <c r="K29" s="87"/>
      <c r="L29" s="37"/>
      <c r="M29" s="72"/>
      <c r="N29" s="72"/>
      <c r="O29" s="72"/>
      <c r="P29" s="37"/>
      <c r="Q29" s="70"/>
      <c r="R29" s="70"/>
      <c r="S29" s="70"/>
      <c r="T29" s="70"/>
      <c r="U29" s="70"/>
      <c r="V29" s="70"/>
      <c r="W29" s="37"/>
    </row>
    <row r="30" spans="1:23" ht="18" customHeight="1" x14ac:dyDescent="0.3">
      <c r="A30" s="37"/>
      <c r="B30" s="38"/>
      <c r="C30" s="38"/>
      <c r="D30" s="38"/>
      <c r="E30" s="37"/>
      <c r="F30" s="37"/>
      <c r="G30" s="37"/>
      <c r="H30" s="37"/>
      <c r="I30" s="37"/>
      <c r="J30" s="37"/>
      <c r="K30" s="37"/>
      <c r="L30" s="37"/>
      <c r="M30" s="38"/>
      <c r="N30" s="38"/>
      <c r="O30" s="38"/>
      <c r="P30" s="37"/>
      <c r="Q30" s="37"/>
      <c r="R30" s="37"/>
      <c r="S30" s="37"/>
      <c r="T30" s="37"/>
      <c r="U30" s="37"/>
      <c r="V30" s="37"/>
      <c r="W30" s="37"/>
    </row>
    <row r="31" spans="1:23" ht="18" customHeight="1" x14ac:dyDescent="0.3">
      <c r="A31" s="37"/>
      <c r="B31" s="72" t="s">
        <v>884</v>
      </c>
      <c r="C31" s="72"/>
      <c r="D31" s="72"/>
      <c r="E31" s="37"/>
      <c r="F31" s="87" t="e">
        <f>VLOOKUP(F7,Company_Details,15,)</f>
        <v>#N/A</v>
      </c>
      <c r="G31" s="87"/>
      <c r="H31" s="87"/>
      <c r="I31" s="87"/>
      <c r="J31" s="87"/>
      <c r="K31" s="87"/>
      <c r="L31" s="37"/>
      <c r="M31" s="72" t="s">
        <v>682</v>
      </c>
      <c r="N31" s="72"/>
      <c r="O31" s="72"/>
      <c r="P31" s="37"/>
      <c r="Q31" s="86"/>
      <c r="R31" s="86"/>
      <c r="S31" s="86"/>
      <c r="T31" s="86"/>
      <c r="U31" s="86"/>
      <c r="V31" s="86"/>
      <c r="W31" s="37"/>
    </row>
    <row r="32" spans="1:23" ht="18" customHeight="1" x14ac:dyDescent="0.3">
      <c r="A32" s="37"/>
      <c r="B32" s="72"/>
      <c r="C32" s="72"/>
      <c r="D32" s="72"/>
      <c r="E32" s="37"/>
      <c r="F32" s="87"/>
      <c r="G32" s="87"/>
      <c r="H32" s="87"/>
      <c r="I32" s="87"/>
      <c r="J32" s="87"/>
      <c r="K32" s="87"/>
      <c r="L32" s="37"/>
      <c r="M32" s="72"/>
      <c r="N32" s="72"/>
      <c r="O32" s="72"/>
      <c r="P32" s="37"/>
      <c r="Q32" s="86"/>
      <c r="R32" s="86"/>
      <c r="S32" s="86"/>
      <c r="T32" s="86"/>
      <c r="U32" s="86"/>
      <c r="V32" s="86"/>
      <c r="W32" s="37"/>
    </row>
    <row r="33" spans="1:23" ht="18" customHeight="1" x14ac:dyDescent="0.3">
      <c r="A33" s="37"/>
      <c r="B33" s="37"/>
      <c r="C33" s="37"/>
      <c r="D33" s="37"/>
      <c r="E33" s="37"/>
      <c r="F33" s="37"/>
      <c r="G33" s="37"/>
      <c r="H33" s="37"/>
      <c r="I33" s="37"/>
      <c r="J33" s="37"/>
      <c r="K33" s="37"/>
      <c r="L33" s="37"/>
      <c r="M33" s="37"/>
      <c r="N33" s="37"/>
      <c r="O33" s="37"/>
      <c r="P33" s="37"/>
      <c r="Q33" s="37"/>
      <c r="R33" s="37"/>
      <c r="S33" s="37"/>
      <c r="T33" s="37"/>
      <c r="U33" s="37"/>
      <c r="V33" s="37"/>
      <c r="W33" s="37"/>
    </row>
    <row r="34" spans="1:23" ht="18" customHeight="1" x14ac:dyDescent="0.3">
      <c r="A34" s="37"/>
      <c r="B34" s="73" t="s">
        <v>885</v>
      </c>
      <c r="C34" s="71"/>
      <c r="D34" s="71"/>
      <c r="E34" s="71"/>
      <c r="F34" s="71"/>
      <c r="G34" s="71"/>
      <c r="H34" s="71"/>
      <c r="I34" s="71"/>
      <c r="J34" s="71"/>
      <c r="K34" s="71"/>
      <c r="L34" s="71"/>
      <c r="M34" s="71"/>
      <c r="N34" s="71"/>
      <c r="O34" s="71"/>
      <c r="P34" s="71"/>
      <c r="Q34" s="71"/>
      <c r="R34" s="71"/>
      <c r="S34" s="71"/>
      <c r="T34" s="71"/>
      <c r="U34" s="71"/>
      <c r="V34" s="71"/>
      <c r="W34" s="37"/>
    </row>
    <row r="35" spans="1:23" ht="18" customHeight="1" x14ac:dyDescent="0.3">
      <c r="A35" s="37"/>
      <c r="B35" s="73"/>
      <c r="C35" s="71"/>
      <c r="D35" s="71"/>
      <c r="E35" s="71"/>
      <c r="F35" s="71"/>
      <c r="G35" s="71"/>
      <c r="H35" s="71"/>
      <c r="I35" s="71"/>
      <c r="J35" s="71"/>
      <c r="K35" s="71"/>
      <c r="L35" s="71"/>
      <c r="M35" s="71"/>
      <c r="N35" s="71"/>
      <c r="O35" s="71"/>
      <c r="P35" s="71"/>
      <c r="Q35" s="71"/>
      <c r="R35" s="71"/>
      <c r="S35" s="71"/>
      <c r="T35" s="71"/>
      <c r="U35" s="71"/>
      <c r="V35" s="71"/>
      <c r="W35" s="37"/>
    </row>
    <row r="36" spans="1:23" ht="18" customHeight="1" x14ac:dyDescent="0.3">
      <c r="A36" s="37"/>
      <c r="B36" s="37"/>
      <c r="C36" s="37"/>
      <c r="D36" s="37"/>
      <c r="E36" s="37"/>
      <c r="F36" s="37"/>
      <c r="G36" s="37"/>
      <c r="H36" s="37"/>
      <c r="I36" s="37"/>
      <c r="J36" s="37"/>
      <c r="K36" s="37"/>
      <c r="L36" s="37"/>
      <c r="M36" s="37"/>
      <c r="N36" s="37"/>
      <c r="O36" s="37"/>
      <c r="P36" s="37"/>
      <c r="Q36" s="37"/>
      <c r="R36" s="37"/>
      <c r="S36" s="37"/>
      <c r="T36" s="37"/>
      <c r="U36" s="37"/>
      <c r="V36" s="37"/>
      <c r="W36" s="37"/>
    </row>
    <row r="37" spans="1:23" ht="18" customHeight="1" x14ac:dyDescent="0.3">
      <c r="A37" s="37"/>
      <c r="B37" s="72" t="s">
        <v>886</v>
      </c>
      <c r="C37" s="72"/>
      <c r="D37" s="72"/>
      <c r="E37" s="37"/>
      <c r="F37" s="80" t="e">
        <f>VLOOKUP(F13,Employ_Details,2,)</f>
        <v>#N/A</v>
      </c>
      <c r="G37" s="81"/>
      <c r="H37" s="81"/>
      <c r="I37" s="81"/>
      <c r="J37" s="81"/>
      <c r="K37" s="82"/>
      <c r="L37" s="37"/>
      <c r="M37" s="72" t="s">
        <v>880</v>
      </c>
      <c r="N37" s="72"/>
      <c r="O37" s="72"/>
      <c r="P37" s="37"/>
      <c r="Q37" s="87" t="e">
        <f>VLOOKUP(F13,Employ_Details,3,)</f>
        <v>#N/A</v>
      </c>
      <c r="R37" s="87"/>
      <c r="S37" s="87"/>
      <c r="T37" s="87"/>
      <c r="U37" s="87"/>
      <c r="V37" s="87"/>
      <c r="W37" s="37"/>
    </row>
    <row r="38" spans="1:23" ht="18" customHeight="1" x14ac:dyDescent="0.3">
      <c r="A38" s="37"/>
      <c r="B38" s="72"/>
      <c r="C38" s="72"/>
      <c r="D38" s="72"/>
      <c r="E38" s="37"/>
      <c r="F38" s="83"/>
      <c r="G38" s="84"/>
      <c r="H38" s="84"/>
      <c r="I38" s="84"/>
      <c r="J38" s="84"/>
      <c r="K38" s="85"/>
      <c r="L38" s="37"/>
      <c r="M38" s="72"/>
      <c r="N38" s="72"/>
      <c r="O38" s="72"/>
      <c r="P38" s="37"/>
      <c r="Q38" s="87"/>
      <c r="R38" s="87"/>
      <c r="S38" s="87"/>
      <c r="T38" s="87"/>
      <c r="U38" s="87"/>
      <c r="V38" s="87"/>
      <c r="W38" s="37"/>
    </row>
    <row r="39" spans="1:23" ht="18" customHeight="1" x14ac:dyDescent="0.3">
      <c r="A39" s="37"/>
      <c r="B39" s="37"/>
      <c r="C39" s="37"/>
      <c r="D39" s="37"/>
      <c r="E39" s="37"/>
      <c r="F39" s="37"/>
      <c r="G39" s="37"/>
      <c r="H39" s="37"/>
      <c r="I39" s="37"/>
      <c r="J39" s="37"/>
      <c r="K39" s="37"/>
      <c r="L39" s="37"/>
      <c r="M39" s="37"/>
      <c r="N39" s="37"/>
      <c r="O39" s="37"/>
      <c r="P39" s="37"/>
      <c r="Q39" s="37"/>
      <c r="R39" s="37"/>
      <c r="S39" s="37"/>
      <c r="T39" s="37"/>
      <c r="U39" s="37"/>
      <c r="V39" s="37"/>
      <c r="W39" s="37"/>
    </row>
    <row r="40" spans="1:23" ht="18" customHeight="1" x14ac:dyDescent="0.3">
      <c r="A40" s="37"/>
      <c r="B40" s="72" t="s">
        <v>881</v>
      </c>
      <c r="C40" s="72"/>
      <c r="D40" s="72"/>
      <c r="E40" s="37"/>
      <c r="F40" s="80" t="e">
        <f>VLOOKUP(F13,Employ_Details,4,)</f>
        <v>#N/A</v>
      </c>
      <c r="G40" s="81"/>
      <c r="H40" s="81"/>
      <c r="I40" s="81"/>
      <c r="J40" s="81"/>
      <c r="K40" s="82"/>
      <c r="L40" s="37"/>
      <c r="M40" s="72" t="s">
        <v>685</v>
      </c>
      <c r="N40" s="72"/>
      <c r="O40" s="72"/>
      <c r="P40" s="37"/>
      <c r="Q40" s="80" t="e">
        <f>VLOOKUP(F13,Employ_Details,5,)</f>
        <v>#N/A</v>
      </c>
      <c r="R40" s="81"/>
      <c r="S40" s="81"/>
      <c r="T40" s="81"/>
      <c r="U40" s="81"/>
      <c r="V40" s="82"/>
      <c r="W40" s="37"/>
    </row>
    <row r="41" spans="1:23" ht="18" customHeight="1" x14ac:dyDescent="0.3">
      <c r="A41" s="37"/>
      <c r="B41" s="72"/>
      <c r="C41" s="72"/>
      <c r="D41" s="72"/>
      <c r="E41" s="37"/>
      <c r="F41" s="83"/>
      <c r="G41" s="84"/>
      <c r="H41" s="84"/>
      <c r="I41" s="84"/>
      <c r="J41" s="84"/>
      <c r="K41" s="85"/>
      <c r="L41" s="37"/>
      <c r="M41" s="72"/>
      <c r="N41" s="72"/>
      <c r="O41" s="72"/>
      <c r="P41" s="37"/>
      <c r="Q41" s="83"/>
      <c r="R41" s="84"/>
      <c r="S41" s="84"/>
      <c r="T41" s="84"/>
      <c r="U41" s="84"/>
      <c r="V41" s="85"/>
      <c r="W41" s="37"/>
    </row>
    <row r="42" spans="1:23" ht="18" customHeight="1" x14ac:dyDescent="0.3">
      <c r="A42" s="37"/>
      <c r="B42" s="37"/>
      <c r="C42" s="37"/>
      <c r="D42" s="37"/>
      <c r="E42" s="37"/>
      <c r="F42" s="37"/>
      <c r="G42" s="37"/>
      <c r="H42" s="37"/>
      <c r="I42" s="37"/>
      <c r="J42" s="37"/>
      <c r="K42" s="37"/>
      <c r="L42" s="37"/>
      <c r="M42" s="37"/>
      <c r="N42" s="37"/>
      <c r="O42" s="37"/>
      <c r="P42" s="37"/>
      <c r="Q42" s="37"/>
      <c r="R42" s="37"/>
      <c r="S42" s="37"/>
      <c r="T42" s="37"/>
      <c r="U42" s="37"/>
      <c r="V42" s="37"/>
      <c r="W42" s="37"/>
    </row>
    <row r="43" spans="1:23" ht="18" customHeight="1" x14ac:dyDescent="0.3">
      <c r="A43" s="37"/>
      <c r="B43" s="72" t="s">
        <v>882</v>
      </c>
      <c r="C43" s="72"/>
      <c r="D43" s="72"/>
      <c r="E43" s="37"/>
      <c r="F43" s="80" t="e">
        <f>VLOOKUP(F13,Employ_Details,6,)</f>
        <v>#N/A</v>
      </c>
      <c r="G43" s="81"/>
      <c r="H43" s="81"/>
      <c r="I43" s="81"/>
      <c r="J43" s="81"/>
      <c r="K43" s="82"/>
      <c r="L43" s="37"/>
      <c r="M43" s="72" t="s">
        <v>685</v>
      </c>
      <c r="N43" s="72"/>
      <c r="O43" s="72"/>
      <c r="P43" s="37"/>
      <c r="Q43" s="80" t="e">
        <f>VLOOKUP(F13,Employ_Details,7,)</f>
        <v>#N/A</v>
      </c>
      <c r="R43" s="81"/>
      <c r="S43" s="81"/>
      <c r="T43" s="81"/>
      <c r="U43" s="81"/>
      <c r="V43" s="82"/>
      <c r="W43" s="37"/>
    </row>
    <row r="44" spans="1:23" ht="18" customHeight="1" x14ac:dyDescent="0.3">
      <c r="A44" s="37"/>
      <c r="B44" s="72"/>
      <c r="C44" s="72"/>
      <c r="D44" s="72"/>
      <c r="E44" s="37"/>
      <c r="F44" s="83"/>
      <c r="G44" s="84"/>
      <c r="H44" s="84"/>
      <c r="I44" s="84"/>
      <c r="J44" s="84"/>
      <c r="K44" s="85"/>
      <c r="L44" s="37"/>
      <c r="M44" s="72"/>
      <c r="N44" s="72"/>
      <c r="O44" s="72"/>
      <c r="P44" s="37"/>
      <c r="Q44" s="83"/>
      <c r="R44" s="84"/>
      <c r="S44" s="84"/>
      <c r="T44" s="84"/>
      <c r="U44" s="84"/>
      <c r="V44" s="85"/>
      <c r="W44" s="37"/>
    </row>
    <row r="45" spans="1:23" ht="18" customHeight="1" x14ac:dyDescent="0.3">
      <c r="A45" s="37"/>
      <c r="B45" s="37"/>
      <c r="C45" s="37"/>
      <c r="D45" s="37"/>
      <c r="E45" s="37"/>
      <c r="F45" s="37"/>
      <c r="G45" s="37"/>
      <c r="H45" s="37"/>
      <c r="I45" s="37"/>
      <c r="J45" s="37"/>
      <c r="K45" s="37"/>
      <c r="L45" s="37"/>
      <c r="M45" s="37"/>
      <c r="N45" s="37"/>
      <c r="O45" s="37"/>
      <c r="P45" s="37"/>
      <c r="Q45" s="37"/>
      <c r="R45" s="37"/>
      <c r="S45" s="37"/>
      <c r="T45" s="37"/>
      <c r="U45" s="37"/>
      <c r="V45" s="37"/>
      <c r="W45" s="37"/>
    </row>
    <row r="46" spans="1:23" ht="18" customHeight="1" x14ac:dyDescent="0.3">
      <c r="A46" s="37"/>
      <c r="B46" s="73" t="s">
        <v>887</v>
      </c>
      <c r="C46" s="71"/>
      <c r="D46" s="71"/>
      <c r="E46" s="71"/>
      <c r="F46" s="71"/>
      <c r="G46" s="71"/>
      <c r="H46" s="71"/>
      <c r="I46" s="71"/>
      <c r="J46" s="71"/>
      <c r="K46" s="71"/>
      <c r="L46" s="71"/>
      <c r="M46" s="71"/>
      <c r="N46" s="71"/>
      <c r="O46" s="71"/>
      <c r="P46" s="71"/>
      <c r="Q46" s="71"/>
      <c r="R46" s="71"/>
      <c r="S46" s="71"/>
      <c r="T46" s="71"/>
      <c r="U46" s="71"/>
      <c r="V46" s="71"/>
      <c r="W46" s="37"/>
    </row>
    <row r="47" spans="1:23" ht="18" customHeight="1" x14ac:dyDescent="0.3">
      <c r="A47" s="37"/>
      <c r="B47" s="73"/>
      <c r="C47" s="71"/>
      <c r="D47" s="71"/>
      <c r="E47" s="71"/>
      <c r="F47" s="71"/>
      <c r="G47" s="71"/>
      <c r="H47" s="71"/>
      <c r="I47" s="71"/>
      <c r="J47" s="71"/>
      <c r="K47" s="71"/>
      <c r="L47" s="71"/>
      <c r="M47" s="71"/>
      <c r="N47" s="71"/>
      <c r="O47" s="71"/>
      <c r="P47" s="71"/>
      <c r="Q47" s="71"/>
      <c r="R47" s="71"/>
      <c r="S47" s="71"/>
      <c r="T47" s="71"/>
      <c r="U47" s="71"/>
      <c r="V47" s="71"/>
      <c r="W47" s="37"/>
    </row>
    <row r="48" spans="1:23" ht="18" customHeight="1" x14ac:dyDescent="0.3">
      <c r="A48" s="37"/>
      <c r="B48" s="37"/>
      <c r="C48" s="37"/>
      <c r="D48" s="37"/>
      <c r="E48" s="37"/>
      <c r="F48" s="37"/>
      <c r="G48" s="37"/>
      <c r="H48" s="37"/>
      <c r="I48" s="37"/>
      <c r="J48" s="37"/>
      <c r="K48" s="37"/>
      <c r="L48" s="37"/>
      <c r="M48" s="37"/>
      <c r="N48" s="37"/>
      <c r="O48" s="37"/>
      <c r="P48" s="37"/>
      <c r="Q48" s="37"/>
      <c r="R48" s="37"/>
      <c r="S48" s="37"/>
      <c r="T48" s="37"/>
      <c r="U48" s="37"/>
      <c r="V48" s="37"/>
      <c r="W48" s="37"/>
    </row>
    <row r="49" spans="1:23" ht="18" customHeight="1" x14ac:dyDescent="0.3">
      <c r="A49" s="37"/>
      <c r="B49" s="72" t="s">
        <v>888</v>
      </c>
      <c r="C49" s="72"/>
      <c r="D49" s="72"/>
      <c r="E49" s="37"/>
      <c r="F49" s="74" t="e">
        <f>VLOOKUP(F13,Products,2,)</f>
        <v>#N/A</v>
      </c>
      <c r="G49" s="75"/>
      <c r="H49" s="75"/>
      <c r="I49" s="75"/>
      <c r="J49" s="75"/>
      <c r="K49" s="75"/>
      <c r="L49" s="75"/>
      <c r="M49" s="75"/>
      <c r="N49" s="75"/>
      <c r="O49" s="75"/>
      <c r="P49" s="75"/>
      <c r="Q49" s="75"/>
      <c r="R49" s="75"/>
      <c r="S49" s="75"/>
      <c r="T49" s="75"/>
      <c r="U49" s="75"/>
      <c r="V49" s="76"/>
      <c r="W49" s="37"/>
    </row>
    <row r="50" spans="1:23" ht="18" customHeight="1" x14ac:dyDescent="0.3">
      <c r="A50" s="37"/>
      <c r="B50" s="72"/>
      <c r="C50" s="72"/>
      <c r="D50" s="72"/>
      <c r="E50" s="37"/>
      <c r="F50" s="77"/>
      <c r="G50" s="78"/>
      <c r="H50" s="78"/>
      <c r="I50" s="78"/>
      <c r="J50" s="78"/>
      <c r="K50" s="78"/>
      <c r="L50" s="78"/>
      <c r="M50" s="78"/>
      <c r="N50" s="78"/>
      <c r="O50" s="78"/>
      <c r="P50" s="78"/>
      <c r="Q50" s="78"/>
      <c r="R50" s="78"/>
      <c r="S50" s="78"/>
      <c r="T50" s="78"/>
      <c r="U50" s="78"/>
      <c r="V50" s="79"/>
      <c r="W50" s="37"/>
    </row>
    <row r="51" spans="1:23" ht="18" customHeight="1" x14ac:dyDescent="0.3">
      <c r="A51" s="37"/>
      <c r="B51" s="37"/>
      <c r="C51" s="37"/>
      <c r="D51" s="37"/>
      <c r="E51" s="37"/>
      <c r="F51" s="37"/>
      <c r="G51" s="37"/>
      <c r="H51" s="37"/>
      <c r="I51" s="37"/>
      <c r="J51" s="37"/>
      <c r="K51" s="37"/>
      <c r="L51" s="37"/>
      <c r="M51" s="37"/>
      <c r="N51" s="37"/>
      <c r="O51" s="37"/>
      <c r="P51" s="37"/>
      <c r="Q51" s="37"/>
      <c r="R51" s="37"/>
      <c r="S51" s="37"/>
      <c r="T51" s="37"/>
      <c r="U51" s="37"/>
      <c r="V51" s="37"/>
      <c r="W51" s="37"/>
    </row>
    <row r="52" spans="1:23" ht="18" customHeight="1" x14ac:dyDescent="0.3">
      <c r="A52" s="37"/>
      <c r="B52" s="72" t="s">
        <v>889</v>
      </c>
      <c r="C52" s="72"/>
      <c r="D52" s="72"/>
      <c r="E52" s="37"/>
      <c r="F52" s="80" t="e">
        <f>VLOOKUP(F13,Products,3,)</f>
        <v>#N/A</v>
      </c>
      <c r="G52" s="81"/>
      <c r="H52" s="81"/>
      <c r="I52" s="81"/>
      <c r="J52" s="81"/>
      <c r="K52" s="82"/>
      <c r="L52" s="37"/>
      <c r="M52" s="72"/>
      <c r="N52" s="72"/>
      <c r="O52" s="72"/>
      <c r="P52" s="37"/>
      <c r="Q52" s="86"/>
      <c r="R52" s="86"/>
      <c r="S52" s="86"/>
      <c r="T52" s="86"/>
      <c r="U52" s="86"/>
      <c r="V52" s="86"/>
      <c r="W52" s="37"/>
    </row>
    <row r="53" spans="1:23" ht="18" customHeight="1" x14ac:dyDescent="0.3">
      <c r="A53" s="37"/>
      <c r="B53" s="72"/>
      <c r="C53" s="72"/>
      <c r="D53" s="72"/>
      <c r="E53" s="37"/>
      <c r="F53" s="83"/>
      <c r="G53" s="84"/>
      <c r="H53" s="84"/>
      <c r="I53" s="84"/>
      <c r="J53" s="84"/>
      <c r="K53" s="85"/>
      <c r="L53" s="37"/>
      <c r="M53" s="72"/>
      <c r="N53" s="72"/>
      <c r="O53" s="72"/>
      <c r="P53" s="37"/>
      <c r="Q53" s="86"/>
      <c r="R53" s="86"/>
      <c r="S53" s="86"/>
      <c r="T53" s="86"/>
      <c r="U53" s="86"/>
      <c r="V53" s="86"/>
      <c r="W53" s="37"/>
    </row>
    <row r="54" spans="1:23" ht="18" customHeight="1" x14ac:dyDescent="0.3">
      <c r="A54" s="37"/>
      <c r="B54" s="37"/>
      <c r="C54" s="37"/>
      <c r="D54" s="37"/>
      <c r="E54" s="37"/>
      <c r="F54" s="37"/>
      <c r="G54" s="37"/>
      <c r="H54" s="37"/>
      <c r="I54" s="37"/>
      <c r="J54" s="37"/>
      <c r="K54" s="37"/>
      <c r="L54" s="37"/>
      <c r="M54" s="37"/>
      <c r="N54" s="37"/>
      <c r="O54" s="37"/>
      <c r="P54" s="37"/>
      <c r="Q54" s="37"/>
      <c r="R54" s="37"/>
      <c r="S54" s="37"/>
      <c r="T54" s="37"/>
      <c r="U54" s="37"/>
      <c r="V54" s="37"/>
      <c r="W54" s="37"/>
    </row>
    <row r="55" spans="1:23" ht="18" customHeight="1" x14ac:dyDescent="0.3">
      <c r="A55" s="37"/>
      <c r="B55" s="37"/>
      <c r="C55" s="37"/>
      <c r="D55" s="37"/>
      <c r="E55" s="37"/>
      <c r="F55" s="37"/>
      <c r="G55" s="37"/>
      <c r="H55" s="37"/>
      <c r="I55" s="37"/>
      <c r="J55" s="37"/>
      <c r="K55" s="37"/>
      <c r="L55" s="37"/>
      <c r="M55" s="37"/>
      <c r="N55" s="37"/>
      <c r="O55" s="37"/>
      <c r="P55" s="37"/>
      <c r="Q55" s="37"/>
      <c r="R55" s="37"/>
      <c r="S55" s="37"/>
      <c r="T55" s="37"/>
      <c r="U55" s="37"/>
      <c r="V55" s="37"/>
      <c r="W55" s="37"/>
    </row>
    <row r="56" spans="1:23" ht="18" customHeight="1" x14ac:dyDescent="0.3">
      <c r="A56" s="37"/>
      <c r="B56" s="37"/>
      <c r="C56" s="37"/>
      <c r="D56" s="37"/>
      <c r="E56" s="37"/>
      <c r="F56" s="37"/>
      <c r="G56" s="37"/>
      <c r="H56" s="37"/>
      <c r="I56" s="37"/>
      <c r="J56" s="37"/>
      <c r="K56" s="37"/>
      <c r="L56" s="37"/>
      <c r="M56" s="37"/>
      <c r="N56" s="37"/>
      <c r="O56" s="37"/>
      <c r="P56" s="37"/>
      <c r="Q56" s="37"/>
      <c r="R56" s="37"/>
      <c r="S56" s="37"/>
      <c r="T56" s="37"/>
      <c r="U56" s="37"/>
      <c r="V56" s="37"/>
      <c r="W56" s="37"/>
    </row>
  </sheetData>
  <mergeCells count="54">
    <mergeCell ref="M13:O14"/>
    <mergeCell ref="M16:O17"/>
    <mergeCell ref="M19:O20"/>
    <mergeCell ref="B28:D29"/>
    <mergeCell ref="F13:K14"/>
    <mergeCell ref="F16:K17"/>
    <mergeCell ref="F19:K20"/>
    <mergeCell ref="F22:K23"/>
    <mergeCell ref="F25:K26"/>
    <mergeCell ref="F28:K29"/>
    <mergeCell ref="B13:D14"/>
    <mergeCell ref="B16:D17"/>
    <mergeCell ref="B19:D20"/>
    <mergeCell ref="B22:D23"/>
    <mergeCell ref="B25:D26"/>
    <mergeCell ref="Q16:V17"/>
    <mergeCell ref="Q19:V20"/>
    <mergeCell ref="Q22:V23"/>
    <mergeCell ref="Q25:V26"/>
    <mergeCell ref="Q28:V29"/>
    <mergeCell ref="F31:K32"/>
    <mergeCell ref="F37:K38"/>
    <mergeCell ref="F40:K41"/>
    <mergeCell ref="F43:K44"/>
    <mergeCell ref="A2:W5"/>
    <mergeCell ref="B31:D32"/>
    <mergeCell ref="B37:D38"/>
    <mergeCell ref="B40:D41"/>
    <mergeCell ref="B43:D44"/>
    <mergeCell ref="M31:O32"/>
    <mergeCell ref="M37:O38"/>
    <mergeCell ref="M40:O41"/>
    <mergeCell ref="M22:O23"/>
    <mergeCell ref="M25:O26"/>
    <mergeCell ref="M28:O29"/>
    <mergeCell ref="Q13:V14"/>
    <mergeCell ref="Q31:V32"/>
    <mergeCell ref="Q37:V38"/>
    <mergeCell ref="Q40:V41"/>
    <mergeCell ref="Q43:V44"/>
    <mergeCell ref="Q52:V53"/>
    <mergeCell ref="M43:O44"/>
    <mergeCell ref="M52:O53"/>
    <mergeCell ref="B34:V35"/>
    <mergeCell ref="B46:V47"/>
    <mergeCell ref="F49:V50"/>
    <mergeCell ref="F52:K53"/>
    <mergeCell ref="B49:D50"/>
    <mergeCell ref="B52:D53"/>
    <mergeCell ref="F7:K8"/>
    <mergeCell ref="Q7:V8"/>
    <mergeCell ref="B10:V11"/>
    <mergeCell ref="B7:D8"/>
    <mergeCell ref="M7:O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Company Details</vt:lpstr>
      <vt:lpstr>Employ details</vt:lpstr>
      <vt:lpstr>Name Of Products</vt:lpstr>
      <vt:lpstr>Search Engine </vt:lpstr>
      <vt:lpstr>Company_Details</vt:lpstr>
      <vt:lpstr>Employ_Details</vt:lpstr>
      <vt:lpstr>Products</vt:lpstr>
    </vt:vector>
  </TitlesOfParts>
  <Company>MRT www.Win2Farsi.com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2025-02-05T06:35:29Z</dcterms:created>
  <dcterms:modified xsi:type="dcterms:W3CDTF">2025-08-31T16:08:27Z</dcterms:modified>
</cp:coreProperties>
</file>